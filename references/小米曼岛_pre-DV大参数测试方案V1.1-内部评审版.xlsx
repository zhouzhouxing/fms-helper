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 firstSheet="1" activeTab="1"/>
  </bookViews>
  <sheets>
    <sheet name="变更记录" sheetId="23" r:id="rId1"/>
    <sheet name="大参数测试方案" sheetId="24" r:id="rId2"/>
    <sheet name="OBC Charge Derating Curves" sheetId="20" r:id="rId3"/>
    <sheet name="V2L Derating Curves" sheetId="21" r:id="rId4"/>
    <sheet name="DCDC1" sheetId="22" r:id="rId5"/>
  </sheets>
  <definedNames>
    <definedName name="类别查找">'C:\Users\ThinkPad\Desktop\tf03934542_win321'!CategoriesTable[按类型划分的类别]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<sst xmlns="http://schemas.openxmlformats.org/spreadsheetml/2006/main" count="168" uniqueCount="79">
  <si>
    <t>序号</t>
  </si>
  <si>
    <t>版本</t>
  </si>
  <si>
    <t>变更内容</t>
  </si>
  <si>
    <t>责任人</t>
  </si>
  <si>
    <t>日期</t>
  </si>
  <si>
    <t>V1.0</t>
  </si>
  <si>
    <t>初版</t>
  </si>
  <si>
    <t>李灿龙</t>
  </si>
  <si>
    <t>大参数功能测试</t>
  </si>
  <si>
    <t>测试项</t>
  </si>
  <si>
    <t>测试参数</t>
  </si>
  <si>
    <t>测试标准</t>
  </si>
  <si>
    <t>OBC单相充电运行模式</t>
  </si>
  <si>
    <t>常温</t>
  </si>
  <si>
    <t>输入电压检测精度</t>
  </si>
  <si>
    <t>频率50Hz
输入电压：220Vac；输出电压：628V；输出电流：10.8A；输出功率6.75kW</t>
  </si>
  <si>
    <t>输入电压检测误差≤±4.2V</t>
  </si>
  <si>
    <t>输入电流检测精度</t>
  </si>
  <si>
    <t>输入电流检测误差≤±0.5A</t>
  </si>
  <si>
    <t>输出电压检测精度</t>
  </si>
  <si>
    <t>输入电压检测误差≤±5V or ±1%（范围取大）</t>
  </si>
  <si>
    <t>输出电流检测精度</t>
  </si>
  <si>
    <t>输出电流误差
输出电流大于10A：≤±2% 
输出电流小于10A：≤±0.2A</t>
  </si>
  <si>
    <t>效率</t>
  </si>
  <si>
    <t>&gt;96.5%</t>
  </si>
  <si>
    <t>低温</t>
  </si>
  <si>
    <t>频率50Hz
输入电压：90/260Vac；输入电流：16A/32A；输出电压：628V；输出功率1.44/6.75kW；（低温降额时间为1min）
输入电压：220Vac：输出电压：345V/450V/500V/555V/628V/700V/740V；
输出功率：2.25kW（345V）/4.3kW（450V）/5.4kW（500V）/6.75kW；96%</t>
  </si>
  <si>
    <t>输入电流检测误差≤±1.2A</t>
  </si>
  <si>
    <t>输出电压检测误差≤±5V or ±1%（范围取大）</t>
  </si>
  <si>
    <t>频率50Hz
输入电压：260Vac；输出电压：628V；
输入电压：220Vac：输出电压：555V/628V/740V；</t>
  </si>
  <si>
    <t>≥96%，其中额定输出电压下，&gt;96.5%</t>
  </si>
  <si>
    <t>高温</t>
  </si>
  <si>
    <t>频率50Hz
输入电压：90/260Vac；输入电流：16A/32A；输出电压：628V；输出功率1.44/6.75kW；
输入电压：220Vac：输出电压：345V/450V/500V/555V/628V/700V/740V；
输出功率：2.25kW（345V）/4.3kW（450V）/5.4kW（500V）/6.75kW；</t>
  </si>
  <si>
    <t>DCDC1&amp;DCDC2功能模块</t>
  </si>
  <si>
    <t>输入电压：628V，输出电压44V，输出功率0.3/0.875/1.75kW；</t>
  </si>
  <si>
    <t>DCDC1:输入电流检测误差≤±0.3A or ±5%（范围取大）
DCDC2:输入电流检测误差≤±0.2A or ±3%（范围取大）</t>
  </si>
  <si>
    <t>输出电压检测误差≤±0.5%</t>
  </si>
  <si>
    <t>输出电流检测误差≤±2A or ±2%（范围取大）</t>
  </si>
  <si>
    <t>≥98%@300W load（pre-DV无法通过，不做判定，后续改硬件）
≥95%@50% load
≥93%@100% load
额定输入和输出电压</t>
  </si>
  <si>
    <t>输入电压：175V，输出电压45.8V，输出功率0.41kW；
输入电压：760V，输出电压52V，输出功率1.2kW；
输入电压：305V/730V，输出电压44V，输出功率1.75kW；
输入电压：628V，输出电压24V，输出功率0.96kW；
输入电压：628V，输出电压52V，输出功率1.75kW；93%</t>
  </si>
  <si>
    <t>≥98%@300W load
≥96%@20% load；≥95%@50% load
≥93%@100% load
效率只记录，不进行判定</t>
  </si>
  <si>
    <t>输入电压：175V，输出电压45.8V，输出功率0.41kW；
输入电压：760V，输出电压52V，输出功率1.2kW；
输入电压：305V/730V，输出电压44V，输出功率1.75kW；
输入电压：628V，输出电压24V，输出功率0.96kW；
输入电压：628V，输出电压52V，输出功率1.75kW；</t>
  </si>
  <si>
    <r>
      <rPr>
        <b/>
        <sz val="12"/>
        <rFont val="微软雅黑"/>
        <charset val="134"/>
      </rPr>
      <t>参考文档：</t>
    </r>
    <r>
      <rPr>
        <sz val="12"/>
        <rFont val="微软雅黑"/>
        <charset val="134"/>
      </rPr>
      <t>251222_小米曼岛_电气降额曲线V0.A(1)</t>
    </r>
  </si>
  <si>
    <t>Mann 7.4kW OBC Derating Curves</t>
  </si>
  <si>
    <t>HVDC Voltage vs. Power</t>
  </si>
  <si>
    <t>Other Coditions</t>
  </si>
  <si>
    <t>HVDC Voltage (V)</t>
  </si>
  <si>
    <t>Output Power (W)</t>
  </si>
  <si>
    <t>Output Current (A)</t>
  </si>
  <si>
    <t>1. AC voltage: 220 V
2. Line frequency: 45 Hz to 65 Hz</t>
  </si>
  <si>
    <t xml:space="preserve">7350W @240Vac (水温≤55℃，输出电压600~700V) </t>
  </si>
  <si>
    <t>HVAC Voltage vs. Input Current</t>
  </si>
  <si>
    <t>HVAC Voltage (Vrms)</t>
  </si>
  <si>
    <t>Input Current (A)</t>
  </si>
  <si>
    <t>Input Power (W)</t>
  </si>
  <si>
    <t>Coolant Temperature vs. Power</t>
  </si>
  <si>
    <t>Coolant Temperature</t>
  </si>
  <si>
    <t>输出功率</t>
  </si>
  <si>
    <t>1. AC voltage: 220 V
2. DC voltage: 550 V to 750 V
3. Line frequency: 45 Hz to 65 Hz</t>
  </si>
  <si>
    <t>启机1min内半载然后满载</t>
  </si>
  <si>
    <t>1. AC voltage: 240 V
2. DC voltage: 600 V to 700 V
3. Line frequency: 45 Hz to 65 Hz</t>
  </si>
  <si>
    <t>Over Temp Protection</t>
  </si>
  <si>
    <t>Error：CLT_temp&gt;85℃,2s
Recovery：CLT_temp&lt;83℃,2s</t>
  </si>
  <si>
    <t>AC Output Power (W)</t>
  </si>
  <si>
    <t>1. AC voltage: 220 V
2. Line frequency: 50 Hz</t>
  </si>
  <si>
    <t>Power (W)</t>
  </si>
  <si>
    <t>1. AC voltage: 220 V
2. DC voltage: 580 V to 750 V
3. Line frequency: 50 Hz</t>
  </si>
  <si>
    <t>待更新</t>
  </si>
  <si>
    <t>Error：CLT_temp&gt;85℃,2s 
Recovery：CLT_temp&lt;83℃,2s</t>
  </si>
  <si>
    <t>Mann 7.4kW DCDC Derating Curves</t>
  </si>
  <si>
    <t>k</t>
  </si>
  <si>
    <t>b</t>
  </si>
  <si>
    <t>HV</t>
  </si>
  <si>
    <t>LV</t>
  </si>
  <si>
    <t>Po</t>
  </si>
  <si>
    <t>LVDC Voltage vs. Power</t>
  </si>
  <si>
    <t>LV Voltage (V)</t>
  </si>
  <si>
    <t>HVDC Voltage vs. LV Voltage</t>
  </si>
  <si>
    <t>LV Voltage（V）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</si>
</sst>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\W"/>
    <numFmt numFmtId="177" formatCode="General\V"/>
    <numFmt numFmtId="178" formatCode="0.0\A"/>
    <numFmt numFmtId="179" formatCode="General&quot;℃&quot;"/>
    <numFmt numFmtId="180" formatCode="General\W"/>
    <numFmt numFmtId="181" formatCode="General\w"/>
    <numFmt numFmtId="182" formatCode="0\A"/>
  </numFmts>
  <fonts count="4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0" tint="-0.349986266670736"/>
      <name val="等线"/>
      <charset val="134"/>
      <scheme val="minor"/>
    </font>
    <font>
      <sz val="11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微软雅黑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sz val="8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8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b/>
      <i/>
      <sz val="18"/>
      <color theme="0"/>
      <name val="等线 Light"/>
      <charset val="134"/>
      <scheme val="major"/>
    </font>
    <font>
      <b/>
      <sz val="9"/>
      <color theme="0"/>
      <name val="等线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sz val="10"/>
      <color theme="3"/>
      <name val="等线"/>
      <charset val="134"/>
      <scheme val="minor"/>
    </font>
    <font>
      <sz val="12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4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0" borderId="49" applyNumberFormat="0" applyFill="0" applyAlignment="0" applyProtection="0">
      <alignment vertical="center"/>
    </xf>
    <xf numFmtId="0" fontId="22" fillId="0" borderId="5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51" applyNumberFormat="0" applyAlignment="0" applyProtection="0">
      <alignment vertical="center"/>
    </xf>
    <xf numFmtId="0" fontId="24" fillId="6" borderId="52" applyNumberFormat="0" applyAlignment="0" applyProtection="0">
      <alignment vertical="center"/>
    </xf>
    <xf numFmtId="0" fontId="25" fillId="6" borderId="51" applyNumberFormat="0" applyAlignment="0" applyProtection="0">
      <alignment vertical="center"/>
    </xf>
    <xf numFmtId="0" fontId="26" fillId="7" borderId="53" applyNumberFormat="0" applyAlignment="0" applyProtection="0">
      <alignment vertical="center"/>
    </xf>
    <xf numFmtId="0" fontId="27" fillId="0" borderId="54" applyNumberFormat="0" applyFill="0" applyAlignment="0" applyProtection="0">
      <alignment vertical="center"/>
    </xf>
    <xf numFmtId="0" fontId="28" fillId="0" borderId="55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35" fillId="11" borderId="0" applyNumberFormat="0" applyBorder="0" applyAlignment="0" applyProtection="0"/>
    <xf numFmtId="0" fontId="36" fillId="15" borderId="0">
      <alignment horizontal="center" vertical="center"/>
    </xf>
    <xf numFmtId="0" fontId="37" fillId="0" borderId="0"/>
    <xf numFmtId="0" fontId="0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0"/>
    <xf numFmtId="0" fontId="34" fillId="0" borderId="0">
      <alignment vertical="center"/>
    </xf>
  </cellStyleXfs>
  <cellXfs count="171">
    <xf numFmtId="0" fontId="0" fillId="0" borderId="0" xfId="0"/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177" fontId="2" fillId="2" borderId="4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177" fontId="2" fillId="2" borderId="8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 wrapText="1"/>
    </xf>
    <xf numFmtId="177" fontId="3" fillId="2" borderId="13" xfId="0" applyNumberFormat="1" applyFont="1" applyFill="1" applyBorder="1" applyAlignment="1">
      <alignment horizontal="center" vertical="center"/>
    </xf>
    <xf numFmtId="176" fontId="3" fillId="2" borderId="13" xfId="0" applyNumberFormat="1" applyFont="1" applyFill="1" applyBorder="1" applyAlignment="1">
      <alignment horizontal="center" vertical="center"/>
    </xf>
    <xf numFmtId="178" fontId="3" fillId="2" borderId="14" xfId="0" applyNumberFormat="1" applyFont="1" applyFill="1" applyBorder="1" applyAlignment="1">
      <alignment horizontal="center" vertical="center"/>
    </xf>
    <xf numFmtId="0" fontId="0" fillId="0" borderId="0" xfId="0" applyFont="1"/>
    <xf numFmtId="177" fontId="0" fillId="0" borderId="0" xfId="0" applyNumberFormat="1"/>
    <xf numFmtId="177" fontId="4" fillId="2" borderId="13" xfId="0" applyNumberFormat="1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center" vertical="center"/>
    </xf>
    <xf numFmtId="178" fontId="4" fillId="2" borderId="14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 wrapText="1"/>
    </xf>
    <xf numFmtId="177" fontId="3" fillId="2" borderId="16" xfId="0" applyNumberFormat="1" applyFont="1" applyFill="1" applyBorder="1" applyAlignment="1">
      <alignment horizontal="center" vertical="center"/>
    </xf>
    <xf numFmtId="176" fontId="3" fillId="2" borderId="16" xfId="0" applyNumberFormat="1" applyFont="1" applyFill="1" applyBorder="1" applyAlignment="1">
      <alignment horizontal="center" vertical="center"/>
    </xf>
    <xf numFmtId="178" fontId="3" fillId="2" borderId="17" xfId="0" applyNumberFormat="1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177" fontId="3" fillId="2" borderId="23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8" fontId="3" fillId="2" borderId="24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177" fontId="2" fillId="2" borderId="13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 wrapText="1"/>
    </xf>
    <xf numFmtId="177" fontId="2" fillId="2" borderId="16" xfId="0" applyNumberFormat="1" applyFont="1" applyFill="1" applyBorder="1" applyAlignment="1">
      <alignment horizontal="center" vertical="center"/>
    </xf>
    <xf numFmtId="176" fontId="2" fillId="2" borderId="17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79" fontId="3" fillId="0" borderId="13" xfId="0" applyNumberFormat="1" applyFont="1" applyFill="1" applyBorder="1" applyAlignment="1">
      <alignment horizontal="center"/>
    </xf>
    <xf numFmtId="180" fontId="3" fillId="0" borderId="13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79" fontId="3" fillId="2" borderId="13" xfId="0" applyNumberFormat="1" applyFont="1" applyFill="1" applyBorder="1" applyAlignment="1">
      <alignment horizontal="center"/>
    </xf>
    <xf numFmtId="180" fontId="3" fillId="2" borderId="13" xfId="0" applyNumberFormat="1" applyFont="1" applyFill="1" applyBorder="1" applyAlignment="1">
      <alignment horizontal="center"/>
    </xf>
    <xf numFmtId="179" fontId="3" fillId="2" borderId="16" xfId="0" applyNumberFormat="1" applyFont="1" applyFill="1" applyBorder="1" applyAlignment="1">
      <alignment horizontal="center"/>
    </xf>
    <xf numFmtId="181" fontId="3" fillId="2" borderId="16" xfId="0" applyNumberFormat="1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 wrapText="1"/>
    </xf>
    <xf numFmtId="49" fontId="2" fillId="2" borderId="30" xfId="0" applyNumberFormat="1" applyFont="1" applyFill="1" applyBorder="1" applyAlignment="1">
      <alignment horizontal="center" vertical="center" wrapText="1"/>
    </xf>
    <xf numFmtId="49" fontId="6" fillId="2" borderId="31" xfId="0" applyNumberFormat="1" applyFont="1" applyFill="1" applyBorder="1" applyAlignment="1">
      <alignment horizontal="left" vertical="center" wrapText="1"/>
    </xf>
    <xf numFmtId="177" fontId="6" fillId="2" borderId="13" xfId="0" applyNumberFormat="1" applyFont="1" applyFill="1" applyBorder="1" applyAlignment="1">
      <alignment horizontal="center" vertical="center"/>
    </xf>
    <xf numFmtId="176" fontId="6" fillId="2" borderId="13" xfId="0" applyNumberFormat="1" applyFont="1" applyFill="1" applyBorder="1" applyAlignment="1">
      <alignment horizontal="center" vertical="center"/>
    </xf>
    <xf numFmtId="178" fontId="6" fillId="2" borderId="14" xfId="0" applyNumberFormat="1" applyFont="1" applyFill="1" applyBorder="1" applyAlignment="1">
      <alignment horizontal="center" vertical="center"/>
    </xf>
    <xf numFmtId="49" fontId="7" fillId="2" borderId="23" xfId="0" applyNumberFormat="1" applyFont="1" applyFill="1" applyBorder="1" applyAlignment="1">
      <alignment horizontal="left" vertical="center" wrapText="1"/>
    </xf>
    <xf numFmtId="49" fontId="7" fillId="2" borderId="32" xfId="0" applyNumberFormat="1" applyFont="1" applyFill="1" applyBorder="1" applyAlignment="1">
      <alignment horizontal="left" vertical="center" wrapText="1"/>
    </xf>
    <xf numFmtId="177" fontId="6" fillId="2" borderId="16" xfId="0" applyNumberFormat="1" applyFont="1" applyFill="1" applyBorder="1" applyAlignment="1">
      <alignment horizontal="center" vertical="center"/>
    </xf>
    <xf numFmtId="176" fontId="6" fillId="2" borderId="16" xfId="0" applyNumberFormat="1" applyFont="1" applyFill="1" applyBorder="1" applyAlignment="1">
      <alignment horizontal="center" vertical="center"/>
    </xf>
    <xf numFmtId="178" fontId="6" fillId="2" borderId="17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left" vertical="center" wrapText="1"/>
    </xf>
    <xf numFmtId="176" fontId="2" fillId="2" borderId="33" xfId="0" applyNumberFormat="1" applyFont="1" applyFill="1" applyBorder="1" applyAlignment="1">
      <alignment horizontal="center" vertical="center"/>
    </xf>
    <xf numFmtId="181" fontId="3" fillId="2" borderId="13" xfId="0" applyNumberFormat="1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179" fontId="3" fillId="2" borderId="31" xfId="0" applyNumberFormat="1" applyFont="1" applyFill="1" applyBorder="1" applyAlignment="1">
      <alignment horizontal="center"/>
    </xf>
    <xf numFmtId="181" fontId="3" fillId="2" borderId="31" xfId="0" applyNumberFormat="1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49" fontId="2" fillId="2" borderId="18" xfId="0" applyNumberFormat="1" applyFont="1" applyFill="1" applyBorder="1" applyAlignment="1">
      <alignment horizontal="center" vertical="center" wrapText="1"/>
    </xf>
    <xf numFmtId="49" fontId="2" fillId="2" borderId="35" xfId="0" applyNumberFormat="1" applyFont="1" applyFill="1" applyBorder="1" applyAlignment="1">
      <alignment horizontal="center" vertical="center" wrapText="1"/>
    </xf>
    <xf numFmtId="49" fontId="2" fillId="2" borderId="36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left" vertical="center" wrapText="1"/>
    </xf>
    <xf numFmtId="49" fontId="3" fillId="2" borderId="37" xfId="0" applyNumberFormat="1" applyFont="1" applyFill="1" applyBorder="1" applyAlignment="1">
      <alignment horizontal="left" vertical="center" wrapText="1"/>
    </xf>
    <xf numFmtId="178" fontId="3" fillId="2" borderId="13" xfId="0" applyNumberFormat="1" applyFont="1" applyFill="1" applyBorder="1" applyAlignment="1">
      <alignment horizontal="center" vertical="center"/>
    </xf>
    <xf numFmtId="182" fontId="3" fillId="2" borderId="13" xfId="0" applyNumberFormat="1" applyFont="1" applyFill="1" applyBorder="1" applyAlignment="1">
      <alignment horizontal="center" vertical="center"/>
    </xf>
    <xf numFmtId="182" fontId="3" fillId="2" borderId="16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center" vertical="center" wrapText="1"/>
    </xf>
    <xf numFmtId="49" fontId="3" fillId="2" borderId="32" xfId="0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center"/>
    </xf>
    <xf numFmtId="0" fontId="9" fillId="0" borderId="39" xfId="0" applyFont="1" applyFill="1" applyBorder="1" applyAlignment="1">
      <alignment horizontal="center"/>
    </xf>
    <xf numFmtId="0" fontId="9" fillId="0" borderId="40" xfId="0" applyFont="1" applyFill="1" applyBorder="1" applyAlignment="1">
      <alignment horizontal="center"/>
    </xf>
    <xf numFmtId="0" fontId="9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1" fillId="0" borderId="0" xfId="0" applyFont="1" applyFill="1" applyAlignment="1"/>
    <xf numFmtId="0" fontId="10" fillId="0" borderId="39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4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center"/>
    </xf>
    <xf numFmtId="0" fontId="10" fillId="0" borderId="42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18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/>
    </xf>
    <xf numFmtId="0" fontId="10" fillId="0" borderId="20" xfId="0" applyFont="1" applyFill="1" applyBorder="1" applyAlignment="1">
      <alignment horizontal="left" vertical="center"/>
    </xf>
    <xf numFmtId="0" fontId="12" fillId="0" borderId="0" xfId="0" applyFont="1" applyFill="1" applyAlignment="1"/>
    <xf numFmtId="0" fontId="12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标题 2 2" xfId="50"/>
    <cellStyle name="标题 5" xfId="51"/>
    <cellStyle name="菜谱信息" xfId="52"/>
    <cellStyle name="常规 2" xfId="53"/>
    <cellStyle name="常规 3" xfId="54"/>
    <cellStyle name="常规 3 2" xfId="55"/>
    <cellStyle name="常规 4" xfId="56"/>
    <cellStyle name="常规 5" xfId="57"/>
    <cellStyle name="一般_PSU-TR-20060509-01" xfId="58"/>
  </cellStyles>
  <tableStyles count="0" defaultTableStyle="TableStyleMedium2" defaultPivotStyle="PivotStyleLight16"/>
  <colors>
    <mruColors>
      <color rgb="00CE29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HVAC</a:t>
            </a:r>
            <a:r>
              <a:rPr lang="en-US" altLang="zh-CN" baseline="0"/>
              <a:t> Voltage vs. </a:t>
            </a:r>
            <a:r>
              <a:rPr lang="en-US" altLang="zh-CN"/>
              <a:t>Input Current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9562657695542"/>
          <c:y val="0.193661093087098"/>
          <c:w val="0.788544995794785"/>
          <c:h val="0.5840778637384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'OBC Charge Derating Curves'!$D$27</c:f>
              <c:strCache>
                <c:ptCount val="1"/>
                <c:pt idx="0">
                  <c:v>Input 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'OBC Charge Derating Curves'!$C$31:$C$37</c:f>
              <c:numCache>
                <c:formatCode>General\V</c:formatCode>
                <c:ptCount val="7"/>
                <c:pt idx="0">
                  <c:v>265</c:v>
                </c:pt>
                <c:pt idx="1">
                  <c:v>240</c:v>
                </c:pt>
                <c:pt idx="2">
                  <c:v>220</c:v>
                </c:pt>
                <c:pt idx="3">
                  <c:v>185</c:v>
                </c:pt>
                <c:pt idx="4">
                  <c:v>165</c:v>
                </c:pt>
                <c:pt idx="5">
                  <c:v>100</c:v>
                </c:pt>
                <c:pt idx="6">
                  <c:v>85</c:v>
                </c:pt>
              </c:numCache>
            </c:numRef>
          </c:xVal>
          <c:yVal>
            <c:numRef>
              <c:f>'OBC Charge Derating Curves'!$D$31:$D$37</c:f>
              <c:numCache>
                <c:formatCode>0\A</c:formatCode>
                <c:ptCount val="7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311728"/>
        <c:axId val="357312560"/>
      </c:scatterChart>
      <c:valAx>
        <c:axId val="357311728"/>
        <c:scaling>
          <c:orientation val="minMax"/>
          <c:max val="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HVAC Voltage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312560"/>
        <c:crosses val="autoZero"/>
        <c:crossBetween val="midCat"/>
      </c:valAx>
      <c:valAx>
        <c:axId val="357312560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Input Current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31172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1c82b7-ea54-4434-855e-4c3bb02767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Coolant Temperature vs. Power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5558043776638"/>
          <c:y val="0.216107784431138"/>
          <c:w val="0.866123913409906"/>
          <c:h val="0.6123159979254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'OBC Charge Derating Curves'!$D$42</c:f>
              <c:strCache>
                <c:ptCount val="1"/>
                <c:pt idx="0">
                  <c:v>输出功率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'OBC Charge Derating Curves'!$C$43:$C$51</c:f>
              <c:numCache>
                <c:formatCode>General"℃"</c:formatCode>
                <c:ptCount val="9"/>
                <c:pt idx="0">
                  <c:v>-40</c:v>
                </c:pt>
                <c:pt idx="1">
                  <c:v>-32.5</c:v>
                </c:pt>
                <c:pt idx="2">
                  <c:v>-25</c:v>
                </c:pt>
                <c:pt idx="3">
                  <c:v>0</c:v>
                </c:pt>
                <c:pt idx="4">
                  <c:v>55</c:v>
                </c:pt>
                <c:pt idx="5">
                  <c:v>60</c:v>
                </c:pt>
                <c:pt idx="6">
                  <c:v>65</c:v>
                </c:pt>
                <c:pt idx="7">
                  <c:v>85</c:v>
                </c:pt>
              </c:numCache>
            </c:numRef>
          </c:xVal>
          <c:yVal>
            <c:numRef>
              <c:f>'OBC Charge Derating Curves'!$D$43:$D$51</c:f>
              <c:numCache>
                <c:formatCode>General\W</c:formatCode>
                <c:ptCount val="9"/>
                <c:pt idx="0">
                  <c:v>6750</c:v>
                </c:pt>
                <c:pt idx="1">
                  <c:v>6750</c:v>
                </c:pt>
                <c:pt idx="2">
                  <c:v>6750</c:v>
                </c:pt>
                <c:pt idx="3">
                  <c:v>6750</c:v>
                </c:pt>
                <c:pt idx="4">
                  <c:v>6750</c:v>
                </c:pt>
                <c:pt idx="5">
                  <c:v>6750</c:v>
                </c:pt>
                <c:pt idx="6">
                  <c:v>5400</c:v>
                </c:pt>
                <c:pt idx="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40624"/>
        <c:axId val="385336464"/>
      </c:scatterChart>
      <c:valAx>
        <c:axId val="38534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Coolant</a:t>
                </a:r>
                <a:r>
                  <a:rPr lang="en-US" altLang="zh-CN" baseline="0"/>
                  <a:t> Temperature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&quot;℃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36464"/>
        <c:crosses val="autoZero"/>
        <c:crossBetween val="midCat"/>
      </c:valAx>
      <c:valAx>
        <c:axId val="3853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</a:t>
                </a:r>
                <a:r>
                  <a:rPr lang="en-US" altLang="zh-CN" baseline="0"/>
                  <a:t>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4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a459d8-274e-42f9-8891-2915c6a1b8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HVDC Voltage vs. Power vs. Output</a:t>
            </a:r>
            <a:r>
              <a:rPr lang="en-US" altLang="zh-CN" baseline="0"/>
              <a:t> Current</a:t>
            </a:r>
            <a:endParaRPr lang="en-US" altLang="zh-CN" baseline="0"/>
          </a:p>
        </c:rich>
      </c:tx>
      <c:layout>
        <c:manualLayout>
          <c:xMode val="edge"/>
          <c:yMode val="edge"/>
          <c:x val="0.103290493885319"/>
          <c:y val="0.013211083995447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0138959079621"/>
          <c:y val="0.190010756110907"/>
          <c:w val="0.615712775643237"/>
          <c:h val="0.5374513426414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'OBC Charge Derating Curves'!$D$2</c:f>
              <c:strCache>
                <c:ptCount val="1"/>
                <c:pt idx="0">
                  <c:v>Output 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'OBC Charge Derating Curves'!$C$4:$C$11</c:f>
              <c:numCache>
                <c:formatCode>General\V</c:formatCode>
                <c:ptCount val="7"/>
                <c:pt idx="1">
                  <c:v>750</c:v>
                </c:pt>
                <c:pt idx="2">
                  <c:v>700</c:v>
                </c:pt>
                <c:pt idx="3">
                  <c:v>650</c:v>
                </c:pt>
                <c:pt idx="4">
                  <c:v>600</c:v>
                </c:pt>
                <c:pt idx="5">
                  <c:v>550</c:v>
                </c:pt>
                <c:pt idx="6">
                  <c:v>336</c:v>
                </c:pt>
              </c:numCache>
            </c:numRef>
          </c:xVal>
          <c:yVal>
            <c:numRef>
              <c:f>'OBC Charge Derating Curves'!$D$4:$D$11</c:f>
              <c:numCache>
                <c:formatCode>0\W</c:formatCode>
                <c:ptCount val="7"/>
                <c:pt idx="1">
                  <c:v>6750</c:v>
                </c:pt>
                <c:pt idx="2">
                  <c:v>6750</c:v>
                </c:pt>
                <c:pt idx="3">
                  <c:v>6750</c:v>
                </c:pt>
                <c:pt idx="4">
                  <c:v>6750</c:v>
                </c:pt>
                <c:pt idx="5">
                  <c:v>6750</c:v>
                </c:pt>
                <c:pt idx="6">
                  <c:v>2200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912960"/>
        <c:axId val="679913376"/>
      </c:scatterChart>
      <c:scatterChart>
        <c:scatterStyle val="lineMarker"/>
        <c:varyColors val="0"/>
        <c:ser>
          <c:idx val="1"/>
          <c:order val="1"/>
          <c:tx>
            <c:strRef>
              <c:f>'OBC Charge Derating Curves'!$E$2</c:f>
              <c:strCache>
                <c:ptCount val="1"/>
                <c:pt idx="0">
                  <c:v>Output Current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'OBC Charge Derating Curves'!$C$4:$C$11</c:f>
              <c:numCache>
                <c:formatCode>General\V</c:formatCode>
                <c:ptCount val="7"/>
                <c:pt idx="1">
                  <c:v>750</c:v>
                </c:pt>
                <c:pt idx="2">
                  <c:v>700</c:v>
                </c:pt>
                <c:pt idx="3">
                  <c:v>650</c:v>
                </c:pt>
                <c:pt idx="4">
                  <c:v>600</c:v>
                </c:pt>
                <c:pt idx="5">
                  <c:v>550</c:v>
                </c:pt>
                <c:pt idx="6">
                  <c:v>336</c:v>
                </c:pt>
              </c:numCache>
            </c:numRef>
          </c:xVal>
          <c:yVal>
            <c:numRef>
              <c:f>'OBC Charge Derating Curves'!$E$4:$E$11</c:f>
              <c:numCache>
                <c:formatCode>0.0\A</c:formatCode>
                <c:ptCount val="7"/>
                <c:pt idx="1">
                  <c:v>9</c:v>
                </c:pt>
                <c:pt idx="2">
                  <c:v>9.64285714285714</c:v>
                </c:pt>
                <c:pt idx="3">
                  <c:v>10.3846153846154</c:v>
                </c:pt>
                <c:pt idx="4">
                  <c:v>11.25</c:v>
                </c:pt>
                <c:pt idx="5">
                  <c:v>12.2727272727273</c:v>
                </c:pt>
                <c:pt idx="6">
                  <c:v>6.54761904761905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311312"/>
        <c:axId val="351978336"/>
      </c:scatterChart>
      <c:valAx>
        <c:axId val="679912960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HVDC</a:t>
                </a:r>
                <a:r>
                  <a:rPr lang="en-US" altLang="zh-CN" baseline="0"/>
                  <a:t> Voltage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913376"/>
        <c:crosses val="autoZero"/>
        <c:crossBetween val="midCat"/>
      </c:valAx>
      <c:valAx>
        <c:axId val="679913376"/>
        <c:scaling>
          <c:orientation val="minMax"/>
          <c:max val="7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912960"/>
        <c:crosses val="autoZero"/>
        <c:crossBetween val="midCat"/>
        <c:majorUnit val="1000"/>
      </c:valAx>
      <c:valAx>
        <c:axId val="357311312"/>
        <c:scaling>
          <c:orientation val="minMax"/>
        </c:scaling>
        <c:delete val="1"/>
        <c:axPos val="b"/>
        <c:numFmt formatCode="General\V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978336"/>
        <c:crosses val="autoZero"/>
        <c:crossBetween val="midCat"/>
      </c:valAx>
      <c:valAx>
        <c:axId val="351978336"/>
        <c:scaling>
          <c:orientation val="minMax"/>
          <c:max val="14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Current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311312"/>
        <c:crosses val="max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561308552432"/>
          <c:y val="0.881291805609399"/>
          <c:w val="0.694794407664638"/>
          <c:h val="0.1104935175012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ad6b56-ec04-46ee-9d3f-691315ef47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HVDC Voltage vs. Power vs. Output</a:t>
            </a:r>
            <a:r>
              <a:rPr lang="en-US" altLang="zh-CN" baseline="0"/>
              <a:t> Current</a:t>
            </a:r>
            <a:endParaRPr lang="en-US" altLang="zh-CN" baseline="0"/>
          </a:p>
        </c:rich>
      </c:tx>
      <c:layout>
        <c:manualLayout>
          <c:xMode val="edge"/>
          <c:yMode val="edge"/>
          <c:x val="0.14293059125964"/>
          <c:y val="0.0083449235048678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0138959079621"/>
          <c:y val="0.190010756110907"/>
          <c:w val="0.615712775643237"/>
          <c:h val="0.5374513426414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'OBC Charge Derating Curves'!$D$2</c:f>
              <c:strCache>
                <c:ptCount val="1"/>
                <c:pt idx="0">
                  <c:v>Output 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'OBC Charge Derating Curves'!$C$18:$C$22</c:f>
              <c:numCache>
                <c:formatCode>General\V</c:formatCode>
                <c:ptCount val="5"/>
                <c:pt idx="0">
                  <c:v>750</c:v>
                </c:pt>
                <c:pt idx="1">
                  <c:v>700</c:v>
                </c:pt>
                <c:pt idx="2">
                  <c:v>650</c:v>
                </c:pt>
                <c:pt idx="3">
                  <c:v>600</c:v>
                </c:pt>
                <c:pt idx="4">
                  <c:v>336</c:v>
                </c:pt>
              </c:numCache>
            </c:numRef>
          </c:xVal>
          <c:yVal>
            <c:numRef>
              <c:f>'OBC Charge Derating Curves'!$D$18:$D$22</c:f>
              <c:numCache>
                <c:formatCode>0\W</c:formatCode>
                <c:ptCount val="5"/>
                <c:pt idx="0">
                  <c:v>7350</c:v>
                </c:pt>
                <c:pt idx="1">
                  <c:v>7350</c:v>
                </c:pt>
                <c:pt idx="2">
                  <c:v>7350</c:v>
                </c:pt>
                <c:pt idx="3">
                  <c:v>7350</c:v>
                </c:pt>
                <c:pt idx="4">
                  <c:v>2200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912960"/>
        <c:axId val="679913376"/>
      </c:scatterChart>
      <c:scatterChart>
        <c:scatterStyle val="lineMarker"/>
        <c:varyColors val="0"/>
        <c:ser>
          <c:idx val="1"/>
          <c:order val="1"/>
          <c:tx>
            <c:strRef>
              <c:f>'OBC Charge Derating Curves'!$E$2</c:f>
              <c:strCache>
                <c:ptCount val="1"/>
                <c:pt idx="0">
                  <c:v>Output Current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'OBC Charge Derating Curves'!$C$18:$C$22</c:f>
              <c:numCache>
                <c:formatCode>General\V</c:formatCode>
                <c:ptCount val="5"/>
                <c:pt idx="0">
                  <c:v>750</c:v>
                </c:pt>
                <c:pt idx="1">
                  <c:v>700</c:v>
                </c:pt>
                <c:pt idx="2">
                  <c:v>650</c:v>
                </c:pt>
                <c:pt idx="3">
                  <c:v>600</c:v>
                </c:pt>
                <c:pt idx="4">
                  <c:v>336</c:v>
                </c:pt>
              </c:numCache>
            </c:numRef>
          </c:xVal>
          <c:yVal>
            <c:numRef>
              <c:f>'OBC Charge Derating Curves'!$E$18:$E$22</c:f>
              <c:numCache>
                <c:formatCode>0.0\A</c:formatCode>
                <c:ptCount val="5"/>
                <c:pt idx="0">
                  <c:v>9.8</c:v>
                </c:pt>
                <c:pt idx="1">
                  <c:v>10.5</c:v>
                </c:pt>
                <c:pt idx="2">
                  <c:v>11.3076923076923</c:v>
                </c:pt>
                <c:pt idx="3">
                  <c:v>12.25</c:v>
                </c:pt>
                <c:pt idx="4">
                  <c:v>6.54761904761905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311312"/>
        <c:axId val="351978336"/>
      </c:scatterChart>
      <c:valAx>
        <c:axId val="679912960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HVDC</a:t>
                </a:r>
                <a:r>
                  <a:rPr lang="en-US" altLang="zh-CN" baseline="0"/>
                  <a:t> Voltage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913376"/>
        <c:crosses val="autoZero"/>
        <c:crossBetween val="midCat"/>
      </c:valAx>
      <c:valAx>
        <c:axId val="679913376"/>
        <c:scaling>
          <c:orientation val="minMax"/>
          <c:max val="8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912960"/>
        <c:crosses val="autoZero"/>
        <c:crossBetween val="midCat"/>
        <c:majorUnit val="1000"/>
      </c:valAx>
      <c:valAx>
        <c:axId val="357311312"/>
        <c:scaling>
          <c:orientation val="minMax"/>
        </c:scaling>
        <c:delete val="1"/>
        <c:axPos val="b"/>
        <c:numFmt formatCode="General\V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978336"/>
        <c:crosses val="autoZero"/>
        <c:crossBetween val="midCat"/>
      </c:valAx>
      <c:valAx>
        <c:axId val="351978336"/>
        <c:scaling>
          <c:orientation val="minMax"/>
          <c:max val="14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Current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311312"/>
        <c:crosses val="max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7561308552432"/>
          <c:y val="0.881291805609399"/>
          <c:w val="0.694794407664638"/>
          <c:h val="0.1104935175012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438a4a-78db-4f7f-88e8-8241e6fad6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Coolant Temperature vs. Power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5558043776638"/>
          <c:y val="0.216107784431138"/>
          <c:w val="0.866123913409906"/>
          <c:h val="0.6123159979254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'OBC Charge Derating Curves'!$D$52</c:f>
              <c:strCache>
                <c:ptCount val="1"/>
                <c:pt idx="0">
                  <c:v>输出功率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'OBC Charge Derating Curves'!$C$53:$C$61</c:f>
              <c:numCache>
                <c:formatCode>General"℃"</c:formatCode>
                <c:ptCount val="9"/>
                <c:pt idx="0">
                  <c:v>-40</c:v>
                </c:pt>
                <c:pt idx="1">
                  <c:v>-32.5</c:v>
                </c:pt>
                <c:pt idx="2">
                  <c:v>-25</c:v>
                </c:pt>
                <c:pt idx="3">
                  <c:v>0</c:v>
                </c:pt>
                <c:pt idx="4">
                  <c:v>55</c:v>
                </c:pt>
                <c:pt idx="5">
                  <c:v>60</c:v>
                </c:pt>
                <c:pt idx="6">
                  <c:v>65</c:v>
                </c:pt>
                <c:pt idx="7">
                  <c:v>85</c:v>
                </c:pt>
              </c:numCache>
            </c:numRef>
          </c:xVal>
          <c:yVal>
            <c:numRef>
              <c:f>'OBC Charge Derating Curves'!$D$53:$D$61</c:f>
              <c:numCache>
                <c:formatCode>General\W</c:formatCode>
                <c:ptCount val="9"/>
                <c:pt idx="0">
                  <c:v>7350</c:v>
                </c:pt>
                <c:pt idx="1">
                  <c:v>7350</c:v>
                </c:pt>
                <c:pt idx="2">
                  <c:v>7350</c:v>
                </c:pt>
                <c:pt idx="3">
                  <c:v>7350</c:v>
                </c:pt>
                <c:pt idx="4">
                  <c:v>7350</c:v>
                </c:pt>
                <c:pt idx="5">
                  <c:v>6125</c:v>
                </c:pt>
                <c:pt idx="6">
                  <c:v>4900</c:v>
                </c:pt>
                <c:pt idx="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40624"/>
        <c:axId val="385336464"/>
      </c:scatterChart>
      <c:valAx>
        <c:axId val="38534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Coolant</a:t>
                </a:r>
                <a:r>
                  <a:rPr lang="en-US" altLang="zh-CN" baseline="0"/>
                  <a:t> Temperature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&quot;℃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36464"/>
        <c:crosses val="autoZero"/>
        <c:crossBetween val="midCat"/>
      </c:valAx>
      <c:valAx>
        <c:axId val="3853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</a:t>
                </a:r>
                <a:r>
                  <a:rPr lang="en-US" altLang="zh-CN" baseline="0"/>
                  <a:t>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4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5ca3ed-8334-4da5-9dd5-2cc6dfa1db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Coolant Temperature vs. Power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5558043776638"/>
          <c:y val="0.216107784431138"/>
          <c:w val="0.866123913409906"/>
          <c:h val="0.6123159979254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'V2L Derating Curves'!$D$13</c:f>
              <c:strCache>
                <c:ptCount val="1"/>
                <c:pt idx="0">
                  <c:v>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'V2L Derating Curves'!$C$16:$C$24</c:f>
              <c:numCache>
                <c:formatCode>General"℃"</c:formatCode>
                <c:ptCount val="7"/>
                <c:pt idx="1">
                  <c:v>-40</c:v>
                </c:pt>
                <c:pt idx="2">
                  <c:v>-25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85</c:v>
                </c:pt>
              </c:numCache>
            </c:numRef>
          </c:xVal>
          <c:yVal>
            <c:numRef>
              <c:f>'V2L Derating Curves'!$D$16:$D$24</c:f>
              <c:numCache>
                <c:formatCode>General\w</c:formatCode>
                <c:ptCount val="7"/>
                <c:pt idx="1">
                  <c:v>0</c:v>
                </c:pt>
                <c:pt idx="2">
                  <c:v>6600</c:v>
                </c:pt>
                <c:pt idx="3">
                  <c:v>6600</c:v>
                </c:pt>
                <c:pt idx="4">
                  <c:v>6600</c:v>
                </c:pt>
                <c:pt idx="5">
                  <c:v>6600</c:v>
                </c:pt>
                <c:pt idx="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40624"/>
        <c:axId val="385336464"/>
      </c:scatterChart>
      <c:valAx>
        <c:axId val="38534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Coolant</a:t>
                </a:r>
                <a:r>
                  <a:rPr lang="en-US" altLang="zh-CN" baseline="0"/>
                  <a:t> Temperature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&quot;℃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36464"/>
        <c:crosses val="autoZero"/>
        <c:crossBetween val="midCat"/>
      </c:valAx>
      <c:valAx>
        <c:axId val="3853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4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47b469-1596-4c7f-9c7c-4db7f3c90f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0" i="0" baseline="0">
                <a:effectLst/>
              </a:rPr>
              <a:t>HVDC Voltage vs. Power vs. Output Current</a:t>
            </a:r>
            <a:endParaRPr lang="zh-CN" altLang="zh-CN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3053368328959"/>
          <c:y val="0.232358506110374"/>
          <c:w val="0.668018372703412"/>
          <c:h val="0.6014200763866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'V2L Derating Curves'!$D$2</c:f>
              <c:strCache>
                <c:ptCount val="1"/>
                <c:pt idx="0">
                  <c:v>AC Output 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'V2L Derating Curves'!$C$3:$C$6</c:f>
              <c:numCache>
                <c:formatCode>General\V</c:formatCode>
                <c:ptCount val="4"/>
                <c:pt idx="1">
                  <c:v>750</c:v>
                </c:pt>
                <c:pt idx="2">
                  <c:v>660</c:v>
                </c:pt>
                <c:pt idx="3">
                  <c:v>580</c:v>
                </c:pt>
              </c:numCache>
            </c:numRef>
          </c:xVal>
          <c:yVal>
            <c:numRef>
              <c:f>'V2L Derating Curves'!$D$3:$D$6</c:f>
              <c:numCache>
                <c:formatCode>0\W</c:formatCode>
                <c:ptCount val="4"/>
                <c:pt idx="1">
                  <c:v>6600</c:v>
                </c:pt>
                <c:pt idx="2">
                  <c:v>6600</c:v>
                </c:pt>
                <c:pt idx="3">
                  <c:v>6600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06240"/>
        <c:axId val="354806656"/>
      </c:scatterChart>
      <c:scatterChart>
        <c:scatterStyle val="lineMarker"/>
        <c:varyColors val="0"/>
        <c:ser>
          <c:idx val="1"/>
          <c:order val="1"/>
          <c:tx>
            <c:strRef>
              <c:f>'V2L Derating Curves'!$E$2</c:f>
              <c:strCache>
                <c:ptCount val="1"/>
                <c:pt idx="0">
                  <c:v>Output Current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'V2L Derating Curves'!$C$3:$C$6</c:f>
              <c:numCache>
                <c:formatCode>General\V</c:formatCode>
                <c:ptCount val="4"/>
                <c:pt idx="1">
                  <c:v>750</c:v>
                </c:pt>
                <c:pt idx="2">
                  <c:v>660</c:v>
                </c:pt>
                <c:pt idx="3">
                  <c:v>580</c:v>
                </c:pt>
              </c:numCache>
            </c:numRef>
          </c:xVal>
          <c:yVal>
            <c:numRef>
              <c:f>'V2L Derating Curves'!$E$3:$E$6</c:f>
              <c:numCache>
                <c:formatCode>0.0\A</c:formatCode>
                <c:ptCount val="4"/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812928"/>
        <c:axId val="682817920"/>
      </c:scatterChart>
      <c:valAx>
        <c:axId val="354806240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HVDC Voltage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806656"/>
        <c:crosses val="autoZero"/>
        <c:crossBetween val="midCat"/>
      </c:valAx>
      <c:valAx>
        <c:axId val="354806656"/>
        <c:scaling>
          <c:orientation val="minMax"/>
          <c:max val="8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806240"/>
        <c:crosses val="autoZero"/>
        <c:crossBetween val="midCat"/>
        <c:majorUnit val="1000"/>
      </c:valAx>
      <c:valAx>
        <c:axId val="682812928"/>
        <c:scaling>
          <c:orientation val="minMax"/>
        </c:scaling>
        <c:delete val="1"/>
        <c:axPos val="b"/>
        <c:numFmt formatCode="General\V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17920"/>
        <c:crosses val="autoZero"/>
        <c:crossBetween val="midCat"/>
      </c:valAx>
      <c:valAx>
        <c:axId val="6828179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Current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\A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12928"/>
        <c:crosses val="max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057524059493"/>
          <c:y val="0.618662141972463"/>
          <c:w val="0.653884951881015"/>
          <c:h val="0.09919244205743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b465f9-0638-47fd-bdf9-c711db7038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0" i="0" baseline="0">
                <a:effectLst/>
              </a:rPr>
              <a:t>HVAC Voltage vs. Power vs. Output Current</a:t>
            </a:r>
            <a:endParaRPr lang="zh-CN" altLang="zh-CN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3053368328959"/>
          <c:y val="0.233387399625209"/>
          <c:w val="0.664282370953631"/>
          <c:h val="0.611463262582267"/>
        </c:manualLayout>
      </c:layout>
      <c:scatterChart>
        <c:scatterStyle val="lineMarker"/>
        <c:varyColors val="0"/>
        <c:ser>
          <c:idx val="2"/>
          <c:order val="0"/>
          <c:tx>
            <c:strRef>
              <c:f>'V2L Derating Curves'!#REF!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'V2L Derating Curves'!#REF!</c:f>
              <c:numCache>
                <c:formatCode>General</c:formatCode>
                <c:ptCount val="0"/>
              </c:numCache>
            </c:numRef>
          </c:xVal>
          <c:yVal>
            <c:numRef>
              <c:f>'V2L Derating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06240"/>
        <c:axId val="354806656"/>
      </c:scatterChart>
      <c:scatterChart>
        <c:scatterStyle val="lineMarker"/>
        <c:varyColors val="0"/>
        <c:ser>
          <c:idx val="3"/>
          <c:order val="1"/>
          <c:tx>
            <c:strRef>
              <c:f>'V2L Derating Curves'!#REF!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'V2L Derating Curves'!#REF!</c:f>
              <c:numCache>
                <c:formatCode>General</c:formatCode>
                <c:ptCount val="0"/>
              </c:numCache>
            </c:numRef>
          </c:xVal>
          <c:yVal>
            <c:numRef>
              <c:f>'V2L Derating 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74383"/>
        <c:axId val="768575215"/>
      </c:scatterChart>
      <c:valAx>
        <c:axId val="354806240"/>
        <c:scaling>
          <c:orientation val="minMax"/>
          <c:min val="1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HVAC</a:t>
                </a:r>
                <a:r>
                  <a:rPr lang="en-US" altLang="zh-CN" baseline="0"/>
                  <a:t> Voltage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806656"/>
        <c:crosses val="autoZero"/>
        <c:crossBetween val="midCat"/>
      </c:valAx>
      <c:valAx>
        <c:axId val="3548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806240"/>
        <c:crosses val="autoZero"/>
        <c:crossBetween val="midCat"/>
      </c:valAx>
      <c:valAx>
        <c:axId val="768574383"/>
        <c:scaling>
          <c:orientation val="minMax"/>
        </c:scaling>
        <c:delete val="1"/>
        <c:axPos val="b"/>
        <c:numFmt formatCode="General\V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575215"/>
        <c:crosses val="autoZero"/>
        <c:crossBetween val="midCat"/>
      </c:valAx>
      <c:valAx>
        <c:axId val="7685752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 Current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574383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724190726159"/>
          <c:y val="0.498892408079168"/>
          <c:w val="0.653884951881015"/>
          <c:h val="0.0996316704810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c0fafe-7d3e-41b0-a4cd-ff6c2526a7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Coolant Temperature vs. Power</a:t>
            </a:r>
            <a:endParaRPr lang="zh-CN" altLang="en-US"/>
          </a:p>
        </c:rich>
      </c:tx>
      <c:layout>
        <c:manualLayout>
          <c:xMode val="edge"/>
          <c:yMode val="edge"/>
          <c:x val="0.17156600748263"/>
          <c:y val="0.039986671109630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707464813825"/>
          <c:y val="0.21626124625125"/>
          <c:w val="0.79387137003385"/>
          <c:h val="0.6215928023992"/>
        </c:manualLayout>
      </c:layout>
      <c:scatterChart>
        <c:scatterStyle val="lineMarker"/>
        <c:varyColors val="0"/>
        <c:ser>
          <c:idx val="0"/>
          <c:order val="0"/>
          <c:tx>
            <c:strRef>
              <c:f>DCDC1!$C$39</c:f>
              <c:strCache>
                <c:ptCount val="1"/>
                <c:pt idx="0">
                  <c:v>输出功率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DCDC1!$B$40:$B$46</c:f>
              <c:numCache>
                <c:formatCode>General"℃"</c:formatCode>
                <c:ptCount val="7"/>
                <c:pt idx="0">
                  <c:v>-40</c:v>
                </c:pt>
                <c:pt idx="1">
                  <c:v>-25</c:v>
                </c:pt>
                <c:pt idx="2">
                  <c:v>0</c:v>
                </c:pt>
                <c:pt idx="3">
                  <c:v>55</c:v>
                </c:pt>
                <c:pt idx="4">
                  <c:v>65</c:v>
                </c:pt>
                <c:pt idx="5">
                  <c:v>75</c:v>
                </c:pt>
                <c:pt idx="6">
                  <c:v>90</c:v>
                </c:pt>
              </c:numCache>
            </c:numRef>
          </c:xVal>
          <c:yVal>
            <c:numRef>
              <c:f>DCDC1!$C$40:$C$46</c:f>
              <c:numCache>
                <c:formatCode>General\W</c:formatCode>
                <c:ptCount val="7"/>
                <c:pt idx="0">
                  <c:v>1750</c:v>
                </c:pt>
                <c:pt idx="1">
                  <c:v>1750</c:v>
                </c:pt>
                <c:pt idx="2">
                  <c:v>1750</c:v>
                </c:pt>
                <c:pt idx="3">
                  <c:v>1750</c:v>
                </c:pt>
                <c:pt idx="4">
                  <c:v>1750</c:v>
                </c:pt>
                <c:pt idx="5">
                  <c:v>1050</c:v>
                </c:pt>
                <c:pt idx="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40624"/>
        <c:axId val="385336464"/>
      </c:scatterChart>
      <c:valAx>
        <c:axId val="38534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Coolant</a:t>
                </a:r>
                <a:r>
                  <a:rPr lang="en-US" altLang="zh-CN" baseline="0"/>
                  <a:t> Temperature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&quot;℃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36464"/>
        <c:crosses val="autoZero"/>
        <c:crossBetween val="midCat"/>
      </c:valAx>
      <c:valAx>
        <c:axId val="3853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Output</a:t>
                </a:r>
                <a:r>
                  <a:rPr lang="en-US" altLang="zh-CN" baseline="0"/>
                  <a:t> Power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34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0cfce8-6ea9-4e7d-811a-18ddc27051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HVDC voltage vs. Output power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526602398587"/>
          <c:y val="0.191534391534392"/>
          <c:w val="0.801255159308975"/>
          <c:h val="0.675141440653252"/>
        </c:manualLayout>
      </c:layout>
      <c:scatterChart>
        <c:scatterStyle val="lineMarker"/>
        <c:varyColors val="0"/>
        <c:ser>
          <c:idx val="0"/>
          <c:order val="0"/>
          <c:tx>
            <c:strRef>
              <c:f>DCDC1!$C$2</c:f>
              <c:strCache>
                <c:ptCount val="1"/>
                <c:pt idx="0">
                  <c:v>Output 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DCDC1!$B$3:$B$10</c:f>
              <c:numCache>
                <c:formatCode>General\V</c:formatCode>
                <c:ptCount val="8"/>
                <c:pt idx="2">
                  <c:v>770</c:v>
                </c:pt>
                <c:pt idx="3">
                  <c:v>740</c:v>
                </c:pt>
                <c:pt idx="4">
                  <c:v>650</c:v>
                </c:pt>
                <c:pt idx="5">
                  <c:v>600</c:v>
                </c:pt>
                <c:pt idx="6">
                  <c:v>256</c:v>
                </c:pt>
                <c:pt idx="7">
                  <c:v>168</c:v>
                </c:pt>
              </c:numCache>
            </c:numRef>
          </c:xVal>
          <c:yVal>
            <c:numRef>
              <c:f>DCDC1!$C$3:$C$10</c:f>
              <c:numCache>
                <c:formatCode>0\W</c:formatCode>
                <c:ptCount val="8"/>
                <c:pt idx="2">
                  <c:v>1000</c:v>
                </c:pt>
                <c:pt idx="3">
                  <c:v>1750</c:v>
                </c:pt>
                <c:pt idx="4">
                  <c:v>1750</c:v>
                </c:pt>
                <c:pt idx="5">
                  <c:v>1750</c:v>
                </c:pt>
                <c:pt idx="6">
                  <c:v>1750</c:v>
                </c:pt>
                <c:pt idx="7">
                  <c:v>300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95960"/>
        <c:axId val="497433448"/>
      </c:scatterChart>
      <c:valAx>
        <c:axId val="215595960"/>
        <c:scaling>
          <c:orientation val="minMax"/>
          <c:max val="8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433448"/>
        <c:crosses val="autoZero"/>
        <c:crossBetween val="midCat"/>
        <c:majorUnit val="100"/>
      </c:valAx>
      <c:valAx>
        <c:axId val="49743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59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b46b48-8e22-4cb9-8fcb-261d3a8eb4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LV voltage vs. Output power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2526602398587"/>
          <c:y val="0.191534391534392"/>
          <c:w val="0.801255159308975"/>
          <c:h val="0.675141440653252"/>
        </c:manualLayout>
      </c:layout>
      <c:scatterChart>
        <c:scatterStyle val="lineMarker"/>
        <c:varyColors val="0"/>
        <c:ser>
          <c:idx val="0"/>
          <c:order val="0"/>
          <c:tx>
            <c:strRef>
              <c:f>DCDC1!$C$15</c:f>
              <c:strCache>
                <c:ptCount val="1"/>
                <c:pt idx="0">
                  <c:v>Output Power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DCDC1!$B$16:$B$22</c:f>
              <c:numCache>
                <c:formatCode>General\V</c:formatCode>
                <c:ptCount val="7"/>
                <c:pt idx="2">
                  <c:v>52</c:v>
                </c:pt>
                <c:pt idx="3">
                  <c:v>48</c:v>
                </c:pt>
                <c:pt idx="4">
                  <c:v>44</c:v>
                </c:pt>
                <c:pt idx="5">
                  <c:v>34</c:v>
                </c:pt>
                <c:pt idx="6">
                  <c:v>24</c:v>
                </c:pt>
              </c:numCache>
            </c:numRef>
          </c:xVal>
          <c:yVal>
            <c:numRef>
              <c:f>DCDC1!$C$16:$C$22</c:f>
              <c:numCache>
                <c:formatCode>0\W</c:formatCode>
                <c:ptCount val="7"/>
                <c:pt idx="2">
                  <c:v>1750</c:v>
                </c:pt>
                <c:pt idx="3">
                  <c:v>1750</c:v>
                </c:pt>
                <c:pt idx="4">
                  <c:v>1750</c:v>
                </c:pt>
                <c:pt idx="5">
                  <c:v>1360</c:v>
                </c:pt>
                <c:pt idx="6">
                  <c:v>960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95960"/>
        <c:axId val="497433448"/>
      </c:scatterChart>
      <c:valAx>
        <c:axId val="215595960"/>
        <c:scaling>
          <c:orientation val="minMax"/>
          <c:max val="7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433448"/>
        <c:crosses val="autoZero"/>
        <c:crossBetween val="midCat"/>
        <c:majorUnit val="10"/>
      </c:valAx>
      <c:valAx>
        <c:axId val="49743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59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df96dd-17aa-400d-a1c8-2516abcf61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输入电压</a:t>
            </a:r>
            <a:r>
              <a:rPr lang="en-US" altLang="zh-CN"/>
              <a:t>/</a:t>
            </a:r>
            <a:r>
              <a:rPr lang="zh-CN" altLang="en-US"/>
              <a:t>最大输出电压曲线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DCDC1!$C$27</c:f>
              <c:strCache>
                <c:ptCount val="1"/>
                <c:pt idx="0">
                  <c:v>LV Voltage（V）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DCDC1!$B$28:$B$33</c:f>
              <c:numCache>
                <c:formatCode>General\V</c:formatCode>
                <c:ptCount val="6"/>
                <c:pt idx="1">
                  <c:v>770</c:v>
                </c:pt>
                <c:pt idx="2">
                  <c:v>740</c:v>
                </c:pt>
                <c:pt idx="3">
                  <c:v>600</c:v>
                </c:pt>
                <c:pt idx="4">
                  <c:v>256</c:v>
                </c:pt>
                <c:pt idx="5">
                  <c:v>168</c:v>
                </c:pt>
              </c:numCache>
            </c:numRef>
          </c:xVal>
          <c:yVal>
            <c:numRef>
              <c:f>DCDC1!$C$28:$C$33</c:f>
              <c:numCache>
                <c:formatCode>0\W</c:formatCode>
                <c:ptCount val="6"/>
                <c:pt idx="1" c:formatCode="General\V">
                  <c:v>52</c:v>
                </c:pt>
                <c:pt idx="2" c:formatCode="General\V">
                  <c:v>52</c:v>
                </c:pt>
                <c:pt idx="3" c:formatCode="General\V">
                  <c:v>52</c:v>
                </c:pt>
                <c:pt idx="4" c:formatCode="General\V">
                  <c:v>52</c:v>
                </c:pt>
                <c:pt idx="5" c:formatCode="General\V">
                  <c:v>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82664"/>
        <c:axId val="216864304"/>
      </c:scatterChart>
      <c:valAx>
        <c:axId val="497682664"/>
        <c:scaling>
          <c:orientation val="minMax"/>
          <c:max val="8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\V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864304"/>
        <c:crosses val="autoZero"/>
        <c:crossBetween val="midCat"/>
      </c:valAx>
      <c:valAx>
        <c:axId val="216864304"/>
        <c:scaling>
          <c:orientation val="minMax"/>
          <c:max val="6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\V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68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22ad9c-7f63-480b-b8db-f94a21e8ad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15240</xdr:colOff>
      <xdr:row>26</xdr:row>
      <xdr:rowOff>22860</xdr:rowOff>
    </xdr:from>
    <xdr:to>
      <xdr:col>11</xdr:col>
      <xdr:colOff>530225</xdr:colOff>
      <xdr:row>40</xdr:row>
      <xdr:rowOff>181610</xdr:rowOff>
    </xdr:to>
    <xdr:graphicFrame>
      <xdr:nvGraphicFramePr>
        <xdr:cNvPr id="5" name="图表 4"/>
        <xdr:cNvGraphicFramePr/>
      </xdr:nvGraphicFramePr>
      <xdr:xfrm>
        <a:off x="7513320" y="4868545"/>
        <a:ext cx="3738245" cy="2932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</xdr:colOff>
      <xdr:row>41</xdr:row>
      <xdr:rowOff>19050</xdr:rowOff>
    </xdr:from>
    <xdr:to>
      <xdr:col>11</xdr:col>
      <xdr:colOff>472440</xdr:colOff>
      <xdr:row>50</xdr:row>
      <xdr:rowOff>171450</xdr:rowOff>
    </xdr:to>
    <xdr:graphicFrame>
      <xdr:nvGraphicFramePr>
        <xdr:cNvPr id="6" name="图表 5"/>
        <xdr:cNvGraphicFramePr/>
      </xdr:nvGraphicFramePr>
      <xdr:xfrm>
        <a:off x="7529830" y="7846060"/>
        <a:ext cx="3663950" cy="239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38101</xdr:colOff>
      <xdr:row>1</xdr:row>
      <xdr:rowOff>16828</xdr:rowOff>
    </xdr:from>
    <xdr:to>
      <xdr:col>11</xdr:col>
      <xdr:colOff>476250</xdr:colOff>
      <xdr:row>13</xdr:row>
      <xdr:rowOff>175260</xdr:rowOff>
    </xdr:to>
    <xdr:graphicFrame>
      <xdr:nvGraphicFramePr>
        <xdr:cNvPr id="8" name="图表 7"/>
        <xdr:cNvGraphicFramePr/>
      </xdr:nvGraphicFramePr>
      <xdr:xfrm>
        <a:off x="7536180" y="285115"/>
        <a:ext cx="3661410" cy="2141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41275</xdr:colOff>
      <xdr:row>14</xdr:row>
      <xdr:rowOff>64770</xdr:rowOff>
    </xdr:from>
    <xdr:to>
      <xdr:col>11</xdr:col>
      <xdr:colOff>486410</xdr:colOff>
      <xdr:row>25</xdr:row>
      <xdr:rowOff>160655</xdr:rowOff>
    </xdr:to>
    <xdr:graphicFrame>
      <xdr:nvGraphicFramePr>
        <xdr:cNvPr id="2" name="图表 1"/>
        <xdr:cNvGraphicFramePr/>
      </xdr:nvGraphicFramePr>
      <xdr:xfrm>
        <a:off x="7539355" y="2523490"/>
        <a:ext cx="3668395" cy="2275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11</xdr:col>
      <xdr:colOff>508635</xdr:colOff>
      <xdr:row>60</xdr:row>
      <xdr:rowOff>152400</xdr:rowOff>
    </xdr:to>
    <xdr:graphicFrame>
      <xdr:nvGraphicFramePr>
        <xdr:cNvPr id="3" name="图表 2"/>
        <xdr:cNvGraphicFramePr/>
      </xdr:nvGraphicFramePr>
      <xdr:xfrm>
        <a:off x="7498080" y="10274935"/>
        <a:ext cx="3731895" cy="239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180975</xdr:colOff>
      <xdr:row>12</xdr:row>
      <xdr:rowOff>66674</xdr:rowOff>
    </xdr:from>
    <xdr:to>
      <xdr:col>11</xdr:col>
      <xdr:colOff>400050</xdr:colOff>
      <xdr:row>24</xdr:row>
      <xdr:rowOff>123825</xdr:rowOff>
    </xdr:to>
    <xdr:graphicFrame>
      <xdr:nvGraphicFramePr>
        <xdr:cNvPr id="3" name="图表 2"/>
        <xdr:cNvGraphicFramePr/>
      </xdr:nvGraphicFramePr>
      <xdr:xfrm>
        <a:off x="6764655" y="2523490"/>
        <a:ext cx="3922395" cy="2038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0</xdr:row>
      <xdr:rowOff>246062</xdr:rowOff>
    </xdr:from>
    <xdr:to>
      <xdr:col>11</xdr:col>
      <xdr:colOff>523875</xdr:colOff>
      <xdr:row>11</xdr:row>
      <xdr:rowOff>149225</xdr:rowOff>
    </xdr:to>
    <xdr:graphicFrame>
      <xdr:nvGraphicFramePr>
        <xdr:cNvPr id="5" name="图表 4"/>
        <xdr:cNvGraphicFramePr/>
      </xdr:nvGraphicFramePr>
      <xdr:xfrm>
        <a:off x="6650355" y="245745"/>
        <a:ext cx="4160520" cy="2153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11</xdr:row>
      <xdr:rowOff>246062</xdr:rowOff>
    </xdr:from>
    <xdr:to>
      <xdr:col>11</xdr:col>
      <xdr:colOff>523875</xdr:colOff>
      <xdr:row>11</xdr:row>
      <xdr:rowOff>246062</xdr:rowOff>
    </xdr:to>
    <xdr:graphicFrame>
      <xdr:nvGraphicFramePr>
        <xdr:cNvPr id="2" name="图表 1"/>
        <xdr:cNvGraphicFramePr/>
      </xdr:nvGraphicFramePr>
      <xdr:xfrm>
        <a:off x="6650355" y="2457450"/>
        <a:ext cx="416052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133350</xdr:colOff>
      <xdr:row>38</xdr:row>
      <xdr:rowOff>19050</xdr:rowOff>
    </xdr:from>
    <xdr:to>
      <xdr:col>10</xdr:col>
      <xdr:colOff>451485</xdr:colOff>
      <xdr:row>46</xdr:row>
      <xdr:rowOff>141605</xdr:rowOff>
    </xdr:to>
    <xdr:graphicFrame>
      <xdr:nvGraphicFramePr>
        <xdr:cNvPr id="3" name="图表 2"/>
        <xdr:cNvGraphicFramePr/>
      </xdr:nvGraphicFramePr>
      <xdr:xfrm>
        <a:off x="5654040" y="7251700"/>
        <a:ext cx="3541395" cy="1707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81280</xdr:colOff>
      <xdr:row>1</xdr:row>
      <xdr:rowOff>116205</xdr:rowOff>
    </xdr:from>
    <xdr:to>
      <xdr:col>10</xdr:col>
      <xdr:colOff>396240</xdr:colOff>
      <xdr:row>13</xdr:row>
      <xdr:rowOff>160020</xdr:rowOff>
    </xdr:to>
    <xdr:graphicFrame>
      <xdr:nvGraphicFramePr>
        <xdr:cNvPr id="8" name="图表 7"/>
        <xdr:cNvGraphicFramePr/>
      </xdr:nvGraphicFramePr>
      <xdr:xfrm>
        <a:off x="5601970" y="384810"/>
        <a:ext cx="3538220" cy="2026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96520</xdr:colOff>
      <xdr:row>15</xdr:row>
      <xdr:rowOff>32385</xdr:rowOff>
    </xdr:from>
    <xdr:to>
      <xdr:col>10</xdr:col>
      <xdr:colOff>411480</xdr:colOff>
      <xdr:row>25</xdr:row>
      <xdr:rowOff>76200</xdr:rowOff>
    </xdr:to>
    <xdr:graphicFrame>
      <xdr:nvGraphicFramePr>
        <xdr:cNvPr id="9" name="图表 8"/>
        <xdr:cNvGraphicFramePr/>
      </xdr:nvGraphicFramePr>
      <xdr:xfrm>
        <a:off x="5617210" y="2689225"/>
        <a:ext cx="3538220" cy="2025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157480</xdr:colOff>
      <xdr:row>26</xdr:row>
      <xdr:rowOff>129540</xdr:rowOff>
    </xdr:from>
    <xdr:to>
      <xdr:col>10</xdr:col>
      <xdr:colOff>401320</xdr:colOff>
      <xdr:row>37</xdr:row>
      <xdr:rowOff>157480</xdr:rowOff>
    </xdr:to>
    <xdr:graphicFrame>
      <xdr:nvGraphicFramePr>
        <xdr:cNvPr id="11" name="图表 10"/>
        <xdr:cNvGraphicFramePr/>
      </xdr:nvGraphicFramePr>
      <xdr:xfrm>
        <a:off x="5678170" y="4975225"/>
        <a:ext cx="3467100" cy="2207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9"/>
  <sheetViews>
    <sheetView workbookViewId="0">
      <selection activeCell="D5" sqref="D5"/>
    </sheetView>
  </sheetViews>
  <sheetFormatPr defaultColWidth="9" defaultRowHeight="13.8" outlineLevelCol="5"/>
  <cols>
    <col min="1" max="3" width="8.66666666666667" style="166"/>
    <col min="4" max="4" width="58.75" style="166" customWidth="1"/>
    <col min="5" max="5" width="8.66666666666667" style="166"/>
    <col min="6" max="6" width="10.5833333333333" style="166" customWidth="1"/>
    <col min="7" max="16384" width="8.66666666666667" style="166"/>
  </cols>
  <sheetData>
    <row r="2" spans="2:6">
      <c r="B2" s="167" t="s">
        <v>0</v>
      </c>
      <c r="C2" s="167" t="s">
        <v>1</v>
      </c>
      <c r="D2" s="167" t="s">
        <v>2</v>
      </c>
      <c r="E2" s="167" t="s">
        <v>3</v>
      </c>
      <c r="F2" s="167" t="s">
        <v>4</v>
      </c>
    </row>
    <row r="3" spans="2:6">
      <c r="B3" s="167">
        <v>1</v>
      </c>
      <c r="C3" s="167" t="s">
        <v>5</v>
      </c>
      <c r="D3" s="168" t="s">
        <v>6</v>
      </c>
      <c r="E3" s="167" t="s">
        <v>7</v>
      </c>
      <c r="F3" s="169">
        <v>46091</v>
      </c>
    </row>
    <row r="4" spans="2:6">
      <c r="B4" s="167">
        <v>2</v>
      </c>
      <c r="C4" s="167"/>
      <c r="D4" s="170"/>
      <c r="E4" s="167"/>
      <c r="F4" s="169"/>
    </row>
    <row r="5" spans="2:6">
      <c r="B5" s="167">
        <v>3</v>
      </c>
      <c r="C5" s="167"/>
      <c r="D5" s="168"/>
      <c r="E5" s="167"/>
      <c r="F5" s="169"/>
    </row>
    <row r="6" spans="2:6">
      <c r="B6" s="167"/>
      <c r="C6" s="167"/>
      <c r="D6" s="168"/>
      <c r="E6" s="167"/>
      <c r="F6" s="167"/>
    </row>
    <row r="7" spans="2:6">
      <c r="B7" s="167"/>
      <c r="C7" s="167"/>
      <c r="D7" s="168"/>
      <c r="E7" s="167"/>
      <c r="F7" s="167"/>
    </row>
    <row r="8" spans="2:6">
      <c r="B8" s="167"/>
      <c r="C8" s="167"/>
      <c r="D8" s="168"/>
      <c r="E8" s="167"/>
      <c r="F8" s="167"/>
    </row>
    <row r="9" spans="2:6">
      <c r="B9" s="167"/>
      <c r="C9" s="167"/>
      <c r="D9" s="168"/>
      <c r="E9" s="167"/>
      <c r="F9" s="16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5"/>
  <sheetViews>
    <sheetView tabSelected="1" zoomScale="115" zoomScaleNormal="115" topLeftCell="A4" workbookViewId="0">
      <selection activeCell="E20" sqref="E20"/>
    </sheetView>
  </sheetViews>
  <sheetFormatPr defaultColWidth="8.58333333333333" defaultRowHeight="17.4" outlineLevelCol="5"/>
  <cols>
    <col min="1" max="1" width="0.333333333333333" style="110" customWidth="1"/>
    <col min="2" max="2" width="8.58333333333333" style="110"/>
    <col min="3" max="3" width="13.3333333333333" style="111" customWidth="1"/>
    <col min="4" max="4" width="62.9722222222222" style="110" customWidth="1"/>
    <col min="5" max="5" width="47.5833333333333" style="110" customWidth="1"/>
    <col min="6" max="16384" width="8.58333333333333" style="110"/>
  </cols>
  <sheetData>
    <row r="1" ht="2" customHeight="1"/>
    <row r="2" ht="21.15" spans="2:6">
      <c r="B2" s="112" t="s">
        <v>8</v>
      </c>
      <c r="C2" s="113"/>
      <c r="D2" s="113"/>
      <c r="E2" s="114"/>
    </row>
    <row r="3" ht="20" customHeight="1" spans="2:6">
      <c r="B3" s="115" t="s">
        <v>0</v>
      </c>
      <c r="C3" s="116" t="s">
        <v>9</v>
      </c>
      <c r="D3" s="116" t="s">
        <v>10</v>
      </c>
      <c r="E3" s="117" t="s">
        <v>11</v>
      </c>
    </row>
    <row r="4" ht="17" customHeight="1" spans="2:6">
      <c r="B4" s="118" t="s">
        <v>12</v>
      </c>
      <c r="C4" s="119"/>
      <c r="D4" s="119"/>
      <c r="E4" s="120"/>
      <c r="F4" s="121"/>
    </row>
    <row r="5" ht="18.15" spans="2:6">
      <c r="B5" s="122" t="s">
        <v>13</v>
      </c>
      <c r="C5" s="123"/>
      <c r="D5" s="123"/>
      <c r="E5" s="124"/>
      <c r="F5" s="121"/>
    </row>
    <row r="6" ht="20" customHeight="1" spans="2:6">
      <c r="B6" s="125">
        <v>1</v>
      </c>
      <c r="C6" s="126" t="s">
        <v>14</v>
      </c>
      <c r="D6" s="127" t="s">
        <v>15</v>
      </c>
      <c r="E6" s="128" t="s">
        <v>16</v>
      </c>
      <c r="F6" s="129"/>
    </row>
    <row r="7" ht="20" customHeight="1" spans="2:6">
      <c r="B7" s="130">
        <v>2</v>
      </c>
      <c r="C7" s="131" t="s">
        <v>17</v>
      </c>
      <c r="D7" s="127"/>
      <c r="E7" s="132" t="s">
        <v>18</v>
      </c>
      <c r="F7" s="129"/>
    </row>
    <row r="8" ht="20" customHeight="1" spans="2:6">
      <c r="B8" s="130">
        <v>3</v>
      </c>
      <c r="C8" s="131" t="s">
        <v>19</v>
      </c>
      <c r="D8" s="127"/>
      <c r="E8" s="128" t="s">
        <v>20</v>
      </c>
      <c r="F8" s="121"/>
    </row>
    <row r="9" ht="45" customHeight="1" spans="2:6">
      <c r="B9" s="130">
        <v>4</v>
      </c>
      <c r="C9" s="131" t="s">
        <v>21</v>
      </c>
      <c r="D9" s="127"/>
      <c r="E9" s="133" t="s">
        <v>22</v>
      </c>
      <c r="F9" s="121"/>
    </row>
    <row r="10" ht="20" customHeight="1" spans="2:6">
      <c r="B10" s="134">
        <v>5</v>
      </c>
      <c r="C10" s="135" t="s">
        <v>23</v>
      </c>
      <c r="D10" s="127"/>
      <c r="E10" s="136" t="s">
        <v>24</v>
      </c>
      <c r="F10" s="137"/>
    </row>
    <row r="11" ht="18.15" spans="2:6">
      <c r="B11" s="138" t="s">
        <v>25</v>
      </c>
      <c r="C11" s="139"/>
      <c r="D11" s="139"/>
      <c r="E11" s="140"/>
      <c r="F11" s="121"/>
    </row>
    <row r="12" ht="20" customHeight="1" spans="2:6">
      <c r="B12" s="125">
        <v>6</v>
      </c>
      <c r="C12" s="126" t="s">
        <v>14</v>
      </c>
      <c r="D12" s="127" t="s">
        <v>26</v>
      </c>
      <c r="E12" s="128" t="s">
        <v>16</v>
      </c>
      <c r="F12" s="121"/>
    </row>
    <row r="13" ht="20" customHeight="1" spans="2:6">
      <c r="B13" s="130">
        <v>7</v>
      </c>
      <c r="C13" s="131" t="s">
        <v>17</v>
      </c>
      <c r="D13" s="127"/>
      <c r="E13" s="132" t="s">
        <v>27</v>
      </c>
      <c r="F13" s="121"/>
    </row>
    <row r="14" ht="20" customHeight="1" spans="2:6">
      <c r="B14" s="130">
        <v>8</v>
      </c>
      <c r="C14" s="131" t="s">
        <v>19</v>
      </c>
      <c r="D14" s="127"/>
      <c r="E14" s="128" t="s">
        <v>28</v>
      </c>
      <c r="F14" s="121"/>
    </row>
    <row r="15" ht="51" customHeight="1" spans="2:6">
      <c r="B15" s="130">
        <v>9</v>
      </c>
      <c r="C15" s="131" t="s">
        <v>21</v>
      </c>
      <c r="D15" s="127"/>
      <c r="E15" s="133" t="s">
        <v>22</v>
      </c>
      <c r="F15" s="121"/>
    </row>
    <row r="16" ht="50" customHeight="1" spans="2:6">
      <c r="B16" s="130">
        <v>10</v>
      </c>
      <c r="C16" s="131" t="s">
        <v>23</v>
      </c>
      <c r="D16" s="141" t="s">
        <v>29</v>
      </c>
      <c r="E16" s="136" t="s">
        <v>30</v>
      </c>
      <c r="F16" s="137"/>
    </row>
    <row r="17" ht="18.15" spans="2:6">
      <c r="B17" s="138" t="s">
        <v>31</v>
      </c>
      <c r="C17" s="139"/>
      <c r="D17" s="139"/>
      <c r="E17" s="140"/>
      <c r="F17" s="121"/>
    </row>
    <row r="18" ht="20" customHeight="1" spans="2:6">
      <c r="B18" s="125">
        <v>15</v>
      </c>
      <c r="C18" s="126" t="s">
        <v>14</v>
      </c>
      <c r="D18" s="127" t="s">
        <v>32</v>
      </c>
      <c r="E18" s="128" t="s">
        <v>16</v>
      </c>
      <c r="F18" s="121"/>
    </row>
    <row r="19" ht="20" customHeight="1" spans="2:6">
      <c r="B19" s="130">
        <v>16</v>
      </c>
      <c r="C19" s="131" t="s">
        <v>17</v>
      </c>
      <c r="D19" s="127"/>
      <c r="E19" s="132" t="s">
        <v>18</v>
      </c>
      <c r="F19" s="121"/>
    </row>
    <row r="20" ht="20" customHeight="1" spans="2:6">
      <c r="B20" s="130">
        <v>17</v>
      </c>
      <c r="C20" s="131" t="s">
        <v>19</v>
      </c>
      <c r="D20" s="127"/>
      <c r="E20" s="128" t="s">
        <v>28</v>
      </c>
      <c r="F20" s="121"/>
    </row>
    <row r="21" ht="45" customHeight="1" spans="2:6">
      <c r="B21" s="130">
        <v>18</v>
      </c>
      <c r="C21" s="131" t="s">
        <v>21</v>
      </c>
      <c r="D21" s="127"/>
      <c r="E21" s="133" t="s">
        <v>22</v>
      </c>
      <c r="F21" s="121"/>
    </row>
    <row r="22" ht="48" customHeight="1" spans="2:6">
      <c r="B22" s="130">
        <v>19</v>
      </c>
      <c r="C22" s="131" t="s">
        <v>23</v>
      </c>
      <c r="D22" s="141" t="s">
        <v>29</v>
      </c>
      <c r="E22" s="136" t="s">
        <v>30</v>
      </c>
      <c r="F22" s="137"/>
    </row>
    <row r="23" ht="18.15" spans="2:6">
      <c r="B23" s="142" t="s">
        <v>33</v>
      </c>
      <c r="C23" s="143"/>
      <c r="D23" s="143"/>
      <c r="E23" s="144"/>
    </row>
    <row r="24" ht="18.15" spans="2:6">
      <c r="B24" s="145" t="s">
        <v>13</v>
      </c>
      <c r="C24" s="146"/>
      <c r="D24" s="146"/>
      <c r="E24" s="147"/>
    </row>
    <row r="25" ht="20" customHeight="1" spans="2:6">
      <c r="B25" s="125">
        <v>24</v>
      </c>
      <c r="C25" s="126" t="s">
        <v>14</v>
      </c>
      <c r="D25" s="127" t="s">
        <v>34</v>
      </c>
      <c r="E25" s="128" t="s">
        <v>20</v>
      </c>
    </row>
    <row r="26" ht="36" customHeight="1" spans="2:6">
      <c r="B26" s="130">
        <v>25</v>
      </c>
      <c r="C26" s="131" t="s">
        <v>17</v>
      </c>
      <c r="D26" s="127"/>
      <c r="E26" s="132" t="s">
        <v>35</v>
      </c>
    </row>
    <row r="27" ht="20" customHeight="1" spans="2:6">
      <c r="B27" s="130">
        <v>26</v>
      </c>
      <c r="C27" s="131" t="s">
        <v>19</v>
      </c>
      <c r="D27" s="127"/>
      <c r="E27" s="132" t="s">
        <v>36</v>
      </c>
    </row>
    <row r="28" ht="20" customHeight="1" spans="2:6">
      <c r="B28" s="130">
        <v>27</v>
      </c>
      <c r="C28" s="131" t="s">
        <v>21</v>
      </c>
      <c r="D28" s="127"/>
      <c r="E28" s="132" t="s">
        <v>37</v>
      </c>
    </row>
    <row r="29" ht="66.75" spans="2:6">
      <c r="B29" s="134">
        <v>28</v>
      </c>
      <c r="C29" s="135" t="s">
        <v>23</v>
      </c>
      <c r="D29" s="127"/>
      <c r="E29" s="136" t="s">
        <v>38</v>
      </c>
      <c r="F29" s="137"/>
    </row>
    <row r="30" ht="18.15" spans="2:6">
      <c r="B30" s="145" t="s">
        <v>25</v>
      </c>
      <c r="C30" s="146"/>
      <c r="D30" s="146"/>
      <c r="E30" s="147"/>
    </row>
    <row r="31" ht="20" customHeight="1" spans="2:6">
      <c r="B31" s="125">
        <v>29</v>
      </c>
      <c r="C31" s="126" t="s">
        <v>14</v>
      </c>
      <c r="D31" s="127" t="s">
        <v>39</v>
      </c>
      <c r="E31" s="128" t="s">
        <v>20</v>
      </c>
    </row>
    <row r="32" ht="38" customHeight="1" spans="2:6">
      <c r="B32" s="130">
        <v>30</v>
      </c>
      <c r="C32" s="131" t="s">
        <v>17</v>
      </c>
      <c r="D32" s="127"/>
      <c r="E32" s="132" t="s">
        <v>35</v>
      </c>
    </row>
    <row r="33" ht="20" customHeight="1" spans="2:6">
      <c r="B33" s="130">
        <v>31</v>
      </c>
      <c r="C33" s="131" t="s">
        <v>19</v>
      </c>
      <c r="D33" s="127"/>
      <c r="E33" s="132" t="s">
        <v>36</v>
      </c>
    </row>
    <row r="34" ht="20" customHeight="1" spans="2:6">
      <c r="B34" s="130">
        <v>32</v>
      </c>
      <c r="C34" s="131" t="s">
        <v>21</v>
      </c>
      <c r="D34" s="127"/>
      <c r="E34" s="132" t="s">
        <v>37</v>
      </c>
    </row>
    <row r="35" ht="53.55" spans="2:6">
      <c r="B35" s="130">
        <v>33</v>
      </c>
      <c r="C35" s="131" t="s">
        <v>23</v>
      </c>
      <c r="D35" s="148"/>
      <c r="E35" s="136" t="s">
        <v>40</v>
      </c>
      <c r="F35" s="137"/>
    </row>
    <row r="36" ht="18.15" spans="2:6">
      <c r="B36" s="149" t="s">
        <v>31</v>
      </c>
      <c r="C36" s="150"/>
      <c r="D36" s="150"/>
      <c r="E36" s="151"/>
    </row>
    <row r="37" ht="20" customHeight="1" spans="2:6">
      <c r="B37" s="152">
        <v>38</v>
      </c>
      <c r="C37" s="153" t="s">
        <v>14</v>
      </c>
      <c r="D37" s="154" t="s">
        <v>41</v>
      </c>
      <c r="E37" s="155" t="s">
        <v>20</v>
      </c>
    </row>
    <row r="38" ht="38" customHeight="1" spans="2:6">
      <c r="B38" s="130">
        <v>39</v>
      </c>
      <c r="C38" s="131" t="s">
        <v>17</v>
      </c>
      <c r="D38" s="156"/>
      <c r="E38" s="132" t="s">
        <v>35</v>
      </c>
    </row>
    <row r="39" ht="20" customHeight="1" spans="2:6">
      <c r="B39" s="130">
        <v>40</v>
      </c>
      <c r="C39" s="131" t="s">
        <v>19</v>
      </c>
      <c r="D39" s="156"/>
      <c r="E39" s="132" t="s">
        <v>36</v>
      </c>
    </row>
    <row r="40" ht="20" customHeight="1" spans="2:6">
      <c r="B40" s="130">
        <v>41</v>
      </c>
      <c r="C40" s="131" t="s">
        <v>21</v>
      </c>
      <c r="D40" s="156"/>
      <c r="E40" s="132" t="s">
        <v>37</v>
      </c>
    </row>
    <row r="41" ht="53.55" spans="2:6">
      <c r="B41" s="134">
        <v>42</v>
      </c>
      <c r="C41" s="135" t="s">
        <v>23</v>
      </c>
      <c r="D41" s="157"/>
      <c r="E41" s="136" t="s">
        <v>40</v>
      </c>
      <c r="F41" s="137"/>
    </row>
    <row r="42" spans="2:6">
      <c r="B42" s="158" t="s">
        <v>42</v>
      </c>
      <c r="C42" s="159"/>
      <c r="D42" s="159"/>
      <c r="E42" s="160"/>
    </row>
    <row r="43" spans="2:6">
      <c r="B43" s="161"/>
      <c r="C43" s="162"/>
      <c r="D43" s="162"/>
      <c r="E43" s="163"/>
    </row>
    <row r="44" spans="2:6">
      <c r="B44" s="164"/>
      <c r="C44" s="165"/>
      <c r="E44" s="164"/>
    </row>
    <row r="45" spans="2:6">
      <c r="B45" s="164"/>
      <c r="C45" s="165"/>
      <c r="E45" s="164"/>
    </row>
  </sheetData>
  <mergeCells count="16">
    <mergeCell ref="B2:E2"/>
    <mergeCell ref="B4:E4"/>
    <mergeCell ref="B5:E5"/>
    <mergeCell ref="B11:E11"/>
    <mergeCell ref="B17:E17"/>
    <mergeCell ref="B23:E23"/>
    <mergeCell ref="B24:E24"/>
    <mergeCell ref="B30:E30"/>
    <mergeCell ref="B36:E36"/>
    <mergeCell ref="D6:D10"/>
    <mergeCell ref="D12:D15"/>
    <mergeCell ref="D18:D21"/>
    <mergeCell ref="D25:D29"/>
    <mergeCell ref="D31:D35"/>
    <mergeCell ref="D37:D41"/>
    <mergeCell ref="B42:E4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workbookViewId="0">
      <selection activeCell="S13" sqref="S13"/>
    </sheetView>
  </sheetViews>
  <sheetFormatPr defaultColWidth="8.58333333333333" defaultRowHeight="13.8"/>
  <cols>
    <col min="1" max="1" width="15" style="1" customWidth="1"/>
    <col min="2" max="2" width="28.8333333333333" style="1" customWidth="1"/>
    <col min="3" max="3" width="22.8333333333333" style="1" customWidth="1"/>
    <col min="4" max="4" width="21.0833333333333" style="2" customWidth="1"/>
    <col min="5" max="5" width="21.5833333333333" style="2" customWidth="1"/>
    <col min="6" max="12" width="7.83333333333333" style="1" customWidth="1"/>
  </cols>
  <sheetData>
    <row r="1" ht="21.15" spans="1:12">
      <c r="A1" s="3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5.65" customHeight="1" spans="1:12">
      <c r="A2" s="5" t="s">
        <v>44</v>
      </c>
      <c r="B2" s="74" t="s">
        <v>45</v>
      </c>
      <c r="C2" s="6" t="s">
        <v>46</v>
      </c>
      <c r="D2" s="7" t="s">
        <v>47</v>
      </c>
      <c r="E2" s="8" t="s">
        <v>48</v>
      </c>
      <c r="F2" s="9"/>
      <c r="G2" s="10"/>
      <c r="H2" s="10"/>
      <c r="I2" s="10"/>
      <c r="J2" s="10"/>
      <c r="K2" s="10"/>
      <c r="L2" s="11"/>
    </row>
    <row r="3" ht="15.65" customHeight="1" spans="1:12">
      <c r="A3" s="12"/>
      <c r="B3" s="96" t="s">
        <v>49</v>
      </c>
      <c r="C3" s="13"/>
      <c r="D3" s="14"/>
      <c r="E3" s="15"/>
      <c r="F3" s="16"/>
      <c r="G3" s="17"/>
      <c r="H3" s="17"/>
      <c r="I3" s="17"/>
      <c r="J3" s="17"/>
      <c r="K3" s="17"/>
      <c r="L3" s="18"/>
    </row>
    <row r="4" ht="15.6" spans="1:12">
      <c r="A4" s="19"/>
      <c r="B4" s="96"/>
      <c r="C4" s="20"/>
      <c r="D4" s="21"/>
      <c r="E4" s="22"/>
      <c r="F4" s="16"/>
      <c r="G4" s="17"/>
      <c r="H4" s="17"/>
      <c r="I4" s="17"/>
      <c r="J4" s="17"/>
      <c r="K4" s="17"/>
      <c r="L4" s="18"/>
    </row>
    <row r="5" ht="15.6" spans="1:12">
      <c r="A5" s="19"/>
      <c r="B5" s="96"/>
      <c r="C5" s="20">
        <v>750</v>
      </c>
      <c r="D5" s="21">
        <v>6750</v>
      </c>
      <c r="E5" s="22">
        <f t="shared" ref="E5:E12" si="0">MIN(D5/C5,22)</f>
        <v>9</v>
      </c>
      <c r="F5" s="16"/>
      <c r="G5" s="17"/>
      <c r="H5" s="17"/>
      <c r="I5" s="17"/>
      <c r="J5" s="17"/>
      <c r="K5" s="17"/>
      <c r="L5" s="18"/>
    </row>
    <row r="6" ht="15.6" spans="1:12">
      <c r="A6" s="19"/>
      <c r="B6" s="96"/>
      <c r="C6" s="20">
        <v>700</v>
      </c>
      <c r="D6" s="21">
        <v>6750</v>
      </c>
      <c r="E6" s="22">
        <f t="shared" si="0"/>
        <v>9.64285714285714</v>
      </c>
      <c r="F6" s="16"/>
      <c r="G6" s="17"/>
      <c r="H6" s="17"/>
      <c r="I6" s="17"/>
      <c r="J6" s="17"/>
      <c r="K6" s="17"/>
      <c r="L6" s="18"/>
    </row>
    <row r="7" ht="15.6" spans="1:12">
      <c r="A7" s="19"/>
      <c r="B7" s="96"/>
      <c r="C7" s="20">
        <v>650</v>
      </c>
      <c r="D7" s="21">
        <v>6750</v>
      </c>
      <c r="E7" s="22">
        <f t="shared" si="0"/>
        <v>10.3846153846154</v>
      </c>
      <c r="F7" s="16"/>
      <c r="G7" s="17"/>
      <c r="H7" s="17"/>
      <c r="I7" s="17"/>
      <c r="J7" s="17"/>
      <c r="K7" s="17"/>
      <c r="L7" s="18"/>
    </row>
    <row r="8" ht="15.6" spans="1:12">
      <c r="A8" s="19"/>
      <c r="B8" s="96"/>
      <c r="C8" s="20">
        <v>600</v>
      </c>
      <c r="D8" s="21">
        <v>6750</v>
      </c>
      <c r="E8" s="22">
        <f t="shared" si="0"/>
        <v>11.25</v>
      </c>
      <c r="F8" s="16"/>
      <c r="G8" s="17"/>
      <c r="H8" s="17"/>
      <c r="I8" s="17"/>
      <c r="J8" s="17"/>
      <c r="K8" s="17"/>
      <c r="L8" s="18"/>
    </row>
    <row r="9" ht="15.6" spans="1:12">
      <c r="A9" s="19"/>
      <c r="B9" s="96"/>
      <c r="C9" s="20">
        <v>550</v>
      </c>
      <c r="D9" s="21">
        <v>6750</v>
      </c>
      <c r="E9" s="22">
        <f t="shared" si="0"/>
        <v>12.2727272727273</v>
      </c>
      <c r="F9" s="16"/>
      <c r="G9" s="17"/>
      <c r="H9" s="17"/>
      <c r="I9" s="17"/>
      <c r="J9" s="17"/>
      <c r="K9" s="17"/>
      <c r="L9" s="18"/>
    </row>
    <row r="10" ht="15.6" spans="1:12">
      <c r="A10" s="19"/>
      <c r="B10" s="96"/>
      <c r="C10" s="20">
        <v>336</v>
      </c>
      <c r="D10" s="21">
        <v>2200</v>
      </c>
      <c r="E10" s="22">
        <f t="shared" si="0"/>
        <v>6.54761904761905</v>
      </c>
      <c r="F10" s="16"/>
      <c r="G10" s="17"/>
      <c r="H10" s="17"/>
      <c r="I10" s="17"/>
      <c r="J10" s="17"/>
      <c r="K10" s="17"/>
      <c r="L10" s="18"/>
    </row>
    <row r="11" ht="15.6" hidden="1" spans="1:12">
      <c r="A11" s="19"/>
      <c r="B11" s="96"/>
      <c r="C11" s="20">
        <v>350</v>
      </c>
      <c r="D11" s="21">
        <f>D12</f>
        <v>3375</v>
      </c>
      <c r="E11" s="22">
        <f t="shared" si="0"/>
        <v>9.64285714285714</v>
      </c>
      <c r="F11" s="16"/>
      <c r="G11" s="17"/>
      <c r="H11" s="17"/>
      <c r="I11" s="17"/>
      <c r="J11" s="17"/>
      <c r="K11" s="17"/>
      <c r="L11" s="18"/>
    </row>
    <row r="12" ht="15.6" hidden="1" spans="1:12">
      <c r="A12" s="19"/>
      <c r="B12" s="96"/>
      <c r="C12" s="25">
        <v>300</v>
      </c>
      <c r="D12" s="26">
        <f>D7/2</f>
        <v>3375</v>
      </c>
      <c r="E12" s="27">
        <f t="shared" si="0"/>
        <v>11.25</v>
      </c>
      <c r="F12" s="16"/>
      <c r="G12" s="17"/>
      <c r="H12" s="17"/>
      <c r="I12" s="17"/>
      <c r="J12" s="17"/>
      <c r="K12" s="17"/>
      <c r="L12" s="18"/>
    </row>
    <row r="13" ht="15.6" spans="1:12">
      <c r="A13" s="19"/>
      <c r="B13" s="96"/>
      <c r="C13" s="20"/>
      <c r="D13" s="21"/>
      <c r="E13" s="22"/>
      <c r="F13" s="16"/>
      <c r="G13" s="17"/>
      <c r="H13" s="17"/>
      <c r="I13" s="17"/>
      <c r="J13" s="17"/>
      <c r="K13" s="17"/>
      <c r="L13" s="18"/>
    </row>
    <row r="14" ht="16.35" spans="1:12">
      <c r="A14" s="28"/>
      <c r="B14" s="96"/>
      <c r="C14" s="29"/>
      <c r="D14" s="30"/>
      <c r="E14" s="31"/>
      <c r="F14" s="32"/>
      <c r="G14" s="33"/>
      <c r="H14" s="33"/>
      <c r="I14" s="33"/>
      <c r="J14" s="33"/>
      <c r="K14" s="33"/>
      <c r="L14" s="34"/>
    </row>
    <row r="15" ht="15.6" spans="1:12">
      <c r="A15" s="36" t="s">
        <v>44</v>
      </c>
      <c r="B15" s="74" t="s">
        <v>45</v>
      </c>
      <c r="C15" s="6" t="s">
        <v>46</v>
      </c>
      <c r="D15" s="7" t="s">
        <v>47</v>
      </c>
      <c r="E15" s="8" t="s">
        <v>48</v>
      </c>
      <c r="F15" s="16"/>
      <c r="G15" s="17"/>
      <c r="H15" s="17"/>
      <c r="I15" s="17"/>
      <c r="J15" s="17"/>
      <c r="K15" s="17"/>
      <c r="L15" s="18"/>
    </row>
    <row r="16" ht="15.6" spans="1:12">
      <c r="A16" s="36"/>
      <c r="B16" s="97" t="s">
        <v>50</v>
      </c>
      <c r="C16" s="20"/>
      <c r="D16" s="21"/>
      <c r="E16" s="98"/>
      <c r="F16" s="17"/>
      <c r="G16" s="17"/>
      <c r="H16" s="17"/>
      <c r="I16" s="17"/>
      <c r="J16" s="17"/>
      <c r="K16" s="17"/>
      <c r="L16" s="18"/>
    </row>
    <row r="17" ht="15.6" spans="1:12">
      <c r="A17" s="36"/>
      <c r="B17" s="97"/>
      <c r="C17" s="20"/>
      <c r="D17" s="21"/>
      <c r="E17" s="98"/>
      <c r="F17" s="17"/>
      <c r="G17" s="17"/>
      <c r="H17" s="17"/>
      <c r="I17" s="17"/>
      <c r="J17" s="17"/>
      <c r="K17" s="17"/>
      <c r="L17" s="18"/>
    </row>
    <row r="18" ht="15.6" spans="1:12">
      <c r="A18" s="36"/>
      <c r="B18" s="97"/>
      <c r="C18" s="20">
        <v>750</v>
      </c>
      <c r="D18" s="21">
        <v>7350</v>
      </c>
      <c r="E18" s="22">
        <f>MIN(D18/C18,22)</f>
        <v>9.8</v>
      </c>
      <c r="F18" s="17"/>
      <c r="G18" s="17"/>
      <c r="H18" s="17"/>
      <c r="I18" s="17"/>
      <c r="J18" s="17"/>
      <c r="K18" s="17"/>
      <c r="L18" s="18"/>
    </row>
    <row r="19" ht="15.6" spans="1:12">
      <c r="A19" s="36"/>
      <c r="B19" s="97"/>
      <c r="C19" s="20">
        <v>700</v>
      </c>
      <c r="D19" s="21">
        <v>7350</v>
      </c>
      <c r="E19" s="22">
        <f>MIN(D19/C19,22)</f>
        <v>10.5</v>
      </c>
      <c r="F19" s="17"/>
      <c r="G19" s="17"/>
      <c r="H19" s="17"/>
      <c r="I19" s="17"/>
      <c r="J19" s="17"/>
      <c r="K19" s="17"/>
      <c r="L19" s="18"/>
    </row>
    <row r="20" ht="15.6" spans="1:12">
      <c r="A20" s="36"/>
      <c r="B20" s="97"/>
      <c r="C20" s="20">
        <v>650</v>
      </c>
      <c r="D20" s="21">
        <v>7350</v>
      </c>
      <c r="E20" s="22">
        <f>MIN(D20/C20,22)</f>
        <v>11.3076923076923</v>
      </c>
      <c r="F20" s="17"/>
      <c r="G20" s="17"/>
      <c r="H20" s="17"/>
      <c r="I20" s="17"/>
      <c r="J20" s="17"/>
      <c r="K20" s="17"/>
      <c r="L20" s="18"/>
    </row>
    <row r="21" ht="15.6" spans="1:12">
      <c r="A21" s="36"/>
      <c r="B21" s="97"/>
      <c r="C21" s="20">
        <v>600</v>
      </c>
      <c r="D21" s="21">
        <v>7350</v>
      </c>
      <c r="E21" s="22">
        <f>MIN(D21/C21,22)</f>
        <v>12.25</v>
      </c>
      <c r="F21" s="17"/>
      <c r="G21" s="17"/>
      <c r="H21" s="17"/>
      <c r="I21" s="17"/>
      <c r="J21" s="17"/>
      <c r="K21" s="17"/>
      <c r="L21" s="18"/>
    </row>
    <row r="22" ht="15.6" spans="1:12">
      <c r="A22" s="36"/>
      <c r="B22" s="97"/>
      <c r="C22" s="20">
        <v>336</v>
      </c>
      <c r="D22" s="21">
        <v>2200</v>
      </c>
      <c r="E22" s="22">
        <f>MIN(D22/C22,22)</f>
        <v>6.54761904761905</v>
      </c>
      <c r="F22" s="17"/>
      <c r="G22" s="17"/>
      <c r="H22" s="17"/>
      <c r="I22" s="17"/>
      <c r="J22" s="17"/>
      <c r="K22" s="17"/>
      <c r="L22" s="18"/>
    </row>
    <row r="23" ht="15.6" spans="1:12">
      <c r="A23" s="36"/>
      <c r="B23" s="97"/>
      <c r="C23" s="20"/>
      <c r="D23" s="21"/>
      <c r="E23" s="98"/>
      <c r="F23" s="17"/>
      <c r="G23" s="17"/>
      <c r="H23" s="17"/>
      <c r="I23" s="17"/>
      <c r="J23" s="17"/>
      <c r="K23" s="17"/>
      <c r="L23" s="18"/>
    </row>
    <row r="24" ht="15.6" spans="1:12">
      <c r="A24" s="36"/>
      <c r="B24" s="97"/>
      <c r="C24" s="20"/>
      <c r="D24" s="21"/>
      <c r="E24" s="98"/>
      <c r="F24" s="17"/>
      <c r="G24" s="17"/>
      <c r="H24" s="17"/>
      <c r="I24" s="17"/>
      <c r="J24" s="17"/>
      <c r="K24" s="17"/>
      <c r="L24" s="18"/>
    </row>
    <row r="25" ht="15.6" spans="1:12">
      <c r="A25" s="36"/>
      <c r="B25" s="97"/>
      <c r="C25" s="20"/>
      <c r="D25" s="21"/>
      <c r="E25" s="98"/>
      <c r="F25" s="17"/>
      <c r="G25" s="17"/>
      <c r="H25" s="17"/>
      <c r="I25" s="17"/>
      <c r="J25" s="17"/>
      <c r="K25" s="17"/>
      <c r="L25" s="18"/>
    </row>
    <row r="26" ht="16.35" spans="1:12">
      <c r="A26" s="36"/>
      <c r="B26" s="97"/>
      <c r="C26" s="37"/>
      <c r="D26" s="38"/>
      <c r="E26" s="39"/>
      <c r="F26" s="16"/>
      <c r="G26" s="17"/>
      <c r="H26" s="17"/>
      <c r="I26" s="17"/>
      <c r="J26" s="17"/>
      <c r="K26" s="17"/>
      <c r="L26" s="18"/>
    </row>
    <row r="27" ht="15.6" spans="1:12">
      <c r="A27" s="5" t="s">
        <v>51</v>
      </c>
      <c r="B27" s="74" t="s">
        <v>45</v>
      </c>
      <c r="C27" s="6" t="s">
        <v>52</v>
      </c>
      <c r="D27" s="7" t="s">
        <v>53</v>
      </c>
      <c r="E27" s="8" t="s">
        <v>54</v>
      </c>
      <c r="F27" s="9"/>
      <c r="G27" s="10"/>
      <c r="H27" s="10"/>
      <c r="I27" s="10"/>
      <c r="J27" s="10"/>
      <c r="K27" s="10"/>
      <c r="L27" s="11"/>
    </row>
    <row r="28" ht="15.6" spans="1:12">
      <c r="A28" s="12"/>
      <c r="B28" s="96"/>
      <c r="C28" s="13"/>
      <c r="D28" s="14"/>
      <c r="E28" s="87"/>
      <c r="F28" s="16"/>
      <c r="G28" s="17"/>
      <c r="H28" s="17"/>
      <c r="I28" s="17"/>
      <c r="J28" s="17"/>
      <c r="K28" s="17"/>
      <c r="L28" s="18"/>
    </row>
    <row r="29" ht="15.6" spans="1:12">
      <c r="A29" s="12"/>
      <c r="B29" s="96"/>
      <c r="C29" s="13"/>
      <c r="D29" s="14"/>
      <c r="E29" s="87"/>
      <c r="F29" s="16"/>
      <c r="G29" s="17"/>
      <c r="H29" s="17"/>
      <c r="I29" s="17"/>
      <c r="J29" s="17"/>
      <c r="K29" s="17"/>
      <c r="L29" s="18"/>
    </row>
    <row r="30" ht="15.6" spans="1:12">
      <c r="A30" s="12"/>
      <c r="B30" s="96"/>
      <c r="C30" s="13"/>
      <c r="D30" s="14"/>
      <c r="E30" s="87"/>
      <c r="F30" s="16"/>
      <c r="G30" s="17"/>
      <c r="H30" s="17"/>
      <c r="I30" s="17"/>
      <c r="J30" s="17"/>
      <c r="K30" s="17"/>
      <c r="L30" s="18"/>
    </row>
    <row r="31" ht="15.6" spans="1:12">
      <c r="A31" s="19"/>
      <c r="B31" s="96"/>
      <c r="C31" s="20">
        <v>265</v>
      </c>
      <c r="D31" s="99">
        <v>32</v>
      </c>
      <c r="E31" s="21">
        <v>7680</v>
      </c>
      <c r="F31" s="16"/>
      <c r="G31" s="17"/>
      <c r="H31" s="17"/>
      <c r="I31" s="17"/>
      <c r="J31" s="17"/>
      <c r="K31" s="17"/>
      <c r="L31" s="18"/>
    </row>
    <row r="32" ht="15.6" spans="1:12">
      <c r="A32" s="19"/>
      <c r="B32" s="96"/>
      <c r="C32" s="20">
        <v>240</v>
      </c>
      <c r="D32" s="99">
        <v>32</v>
      </c>
      <c r="E32" s="21">
        <f>C32*D32</f>
        <v>7680</v>
      </c>
      <c r="F32" s="16"/>
      <c r="G32" s="17"/>
      <c r="H32" s="17"/>
      <c r="I32" s="17"/>
      <c r="J32" s="17"/>
      <c r="K32" s="17"/>
      <c r="L32" s="18"/>
    </row>
    <row r="33" ht="15.6" spans="1:12">
      <c r="A33" s="19"/>
      <c r="B33" s="96"/>
      <c r="C33" s="20">
        <v>220</v>
      </c>
      <c r="D33" s="99">
        <v>32</v>
      </c>
      <c r="E33" s="21">
        <f>D33*C33</f>
        <v>7040</v>
      </c>
      <c r="F33" s="16"/>
      <c r="G33" s="17"/>
      <c r="H33" s="17"/>
      <c r="I33" s="17"/>
      <c r="J33" s="17"/>
      <c r="K33" s="17"/>
      <c r="L33" s="18"/>
    </row>
    <row r="34" ht="15.6" spans="1:12">
      <c r="A34" s="19"/>
      <c r="B34" s="96"/>
      <c r="C34" s="20">
        <v>185</v>
      </c>
      <c r="D34" s="99">
        <v>32</v>
      </c>
      <c r="E34" s="21">
        <f>C34*D34</f>
        <v>5920</v>
      </c>
      <c r="F34" s="16"/>
      <c r="G34" s="17"/>
      <c r="H34" s="17"/>
      <c r="I34" s="17"/>
      <c r="J34" s="17"/>
      <c r="K34" s="17"/>
      <c r="L34" s="18"/>
    </row>
    <row r="35" ht="15.6" spans="1:12">
      <c r="A35" s="19"/>
      <c r="B35" s="96"/>
      <c r="C35" s="20">
        <v>165</v>
      </c>
      <c r="D35" s="99">
        <v>16</v>
      </c>
      <c r="E35" s="21">
        <f>C35*D35</f>
        <v>2640</v>
      </c>
      <c r="F35" s="16"/>
      <c r="G35" s="17"/>
      <c r="H35" s="17"/>
      <c r="I35" s="17"/>
      <c r="J35" s="17"/>
      <c r="K35" s="17"/>
      <c r="L35" s="18"/>
    </row>
    <row r="36" ht="15.6" spans="1:12">
      <c r="A36" s="19"/>
      <c r="B36" s="96"/>
      <c r="C36" s="20">
        <v>100</v>
      </c>
      <c r="D36" s="99">
        <v>16</v>
      </c>
      <c r="E36" s="21">
        <f>C36*D36</f>
        <v>1600</v>
      </c>
      <c r="F36" s="16"/>
      <c r="G36" s="17"/>
      <c r="H36" s="17"/>
      <c r="I36" s="17"/>
      <c r="J36" s="17"/>
      <c r="K36" s="17"/>
      <c r="L36" s="18"/>
    </row>
    <row r="37" ht="15.6" spans="1:12">
      <c r="A37" s="19"/>
      <c r="B37" s="96"/>
      <c r="C37" s="20">
        <v>85</v>
      </c>
      <c r="D37" s="99">
        <v>16</v>
      </c>
      <c r="E37" s="21">
        <f>D37*C37</f>
        <v>1360</v>
      </c>
      <c r="F37" s="16"/>
      <c r="G37" s="17"/>
      <c r="H37" s="17"/>
      <c r="I37" s="17"/>
      <c r="J37" s="17"/>
      <c r="K37" s="17"/>
      <c r="L37" s="18"/>
    </row>
    <row r="38" ht="15.6" spans="1:12">
      <c r="A38" s="19"/>
      <c r="B38" s="96"/>
      <c r="C38" s="20"/>
      <c r="D38" s="99"/>
      <c r="E38" s="21"/>
      <c r="F38" s="16"/>
      <c r="G38" s="17"/>
      <c r="H38" s="17"/>
      <c r="I38" s="17"/>
      <c r="J38" s="17"/>
      <c r="K38" s="17"/>
      <c r="L38" s="18"/>
    </row>
    <row r="39" ht="15.6" spans="1:12">
      <c r="A39" s="19"/>
      <c r="B39" s="96"/>
      <c r="C39" s="20"/>
      <c r="D39" s="99"/>
      <c r="E39" s="21"/>
      <c r="F39" s="16"/>
      <c r="G39" s="17"/>
      <c r="H39" s="17"/>
      <c r="I39" s="17"/>
      <c r="J39" s="17"/>
      <c r="K39" s="17"/>
      <c r="L39" s="18"/>
    </row>
    <row r="40" ht="15.6" spans="1:12">
      <c r="A40" s="19"/>
      <c r="B40" s="96"/>
      <c r="C40" s="20"/>
      <c r="D40" s="99"/>
      <c r="E40" s="21"/>
      <c r="F40" s="16"/>
      <c r="G40" s="17"/>
      <c r="H40" s="17"/>
      <c r="I40" s="17"/>
      <c r="J40" s="17"/>
      <c r="K40" s="17"/>
      <c r="L40" s="18"/>
    </row>
    <row r="41" ht="16.35" spans="1:12">
      <c r="A41" s="28"/>
      <c r="B41" s="96"/>
      <c r="C41" s="20"/>
      <c r="D41" s="100"/>
      <c r="E41" s="21"/>
      <c r="F41" s="32"/>
      <c r="G41" s="33"/>
      <c r="H41" s="33"/>
      <c r="I41" s="33"/>
      <c r="J41" s="33"/>
      <c r="K41" s="33"/>
      <c r="L41" s="34"/>
    </row>
    <row r="42" ht="15.6" spans="1:12">
      <c r="A42" s="35" t="s">
        <v>55</v>
      </c>
      <c r="B42" s="94" t="s">
        <v>45</v>
      </c>
      <c r="C42" s="6" t="s">
        <v>56</v>
      </c>
      <c r="D42" s="7" t="s">
        <v>57</v>
      </c>
      <c r="E42" s="8"/>
      <c r="F42" s="48"/>
      <c r="G42" s="49"/>
      <c r="H42" s="49"/>
      <c r="I42" s="49"/>
      <c r="J42" s="49"/>
      <c r="K42" s="49"/>
      <c r="L42" s="50"/>
    </row>
    <row r="43" ht="27.6" spans="1:12">
      <c r="A43" s="36"/>
      <c r="B43" s="101" t="s">
        <v>58</v>
      </c>
      <c r="C43" s="55">
        <v>-40</v>
      </c>
      <c r="D43" s="56">
        <v>6750</v>
      </c>
      <c r="E43" s="102" t="s">
        <v>59</v>
      </c>
      <c r="F43" s="54"/>
      <c r="G43" s="40"/>
      <c r="H43" s="40"/>
      <c r="I43" s="40"/>
      <c r="J43" s="40"/>
      <c r="K43" s="40"/>
      <c r="L43" s="41"/>
    </row>
    <row r="44" ht="27.6" spans="1:12">
      <c r="A44" s="36"/>
      <c r="B44" s="103"/>
      <c r="C44" s="55">
        <v>-32.5</v>
      </c>
      <c r="D44" s="56">
        <v>6750</v>
      </c>
      <c r="E44" s="102" t="s">
        <v>59</v>
      </c>
      <c r="F44" s="54"/>
      <c r="G44" s="40"/>
      <c r="H44" s="40"/>
      <c r="I44" s="40"/>
      <c r="J44" s="40"/>
      <c r="K44" s="40"/>
      <c r="L44" s="41"/>
    </row>
    <row r="45" ht="27.6" spans="1:12">
      <c r="A45" s="36"/>
      <c r="B45" s="103"/>
      <c r="C45" s="55">
        <v>-25</v>
      </c>
      <c r="D45" s="56">
        <v>6750</v>
      </c>
      <c r="E45" s="102" t="s">
        <v>59</v>
      </c>
      <c r="F45" s="54"/>
      <c r="G45" s="40"/>
      <c r="H45" s="40"/>
      <c r="I45" s="40"/>
      <c r="J45" s="40"/>
      <c r="K45" s="40"/>
      <c r="L45" s="41"/>
    </row>
    <row r="46" ht="15.6" spans="1:12">
      <c r="A46" s="36"/>
      <c r="B46" s="103"/>
      <c r="C46" s="55">
        <v>0</v>
      </c>
      <c r="D46" s="56">
        <v>6750</v>
      </c>
      <c r="E46" s="53"/>
      <c r="F46" s="54"/>
      <c r="G46" s="40"/>
      <c r="H46" s="40"/>
      <c r="I46" s="40"/>
      <c r="J46" s="40"/>
      <c r="K46" s="40"/>
      <c r="L46" s="41"/>
    </row>
    <row r="47" ht="15.6" spans="1:12">
      <c r="A47" s="36"/>
      <c r="B47" s="103"/>
      <c r="C47" s="55">
        <v>55</v>
      </c>
      <c r="D47" s="56">
        <v>6750</v>
      </c>
      <c r="E47" s="53"/>
      <c r="F47" s="54"/>
      <c r="G47" s="40"/>
      <c r="H47" s="40"/>
      <c r="I47" s="40"/>
      <c r="J47" s="40"/>
      <c r="K47" s="40"/>
      <c r="L47" s="41"/>
    </row>
    <row r="48" ht="15.6" spans="1:12">
      <c r="A48" s="36"/>
      <c r="B48" s="103"/>
      <c r="C48" s="55">
        <v>60</v>
      </c>
      <c r="D48" s="56">
        <v>6750</v>
      </c>
      <c r="E48" s="53"/>
      <c r="F48" s="54"/>
      <c r="G48" s="40"/>
      <c r="H48" s="40"/>
      <c r="I48" s="40"/>
      <c r="J48" s="40"/>
      <c r="K48" s="40"/>
      <c r="L48" s="41"/>
    </row>
    <row r="49" ht="15.6" spans="1:12">
      <c r="A49" s="36"/>
      <c r="B49" s="103"/>
      <c r="C49" s="55">
        <v>65</v>
      </c>
      <c r="D49" s="56">
        <f>ROUND(($D$50-$D$48)/($C$50-$C$48)*(C49-$C$50),0)+D50</f>
        <v>5400</v>
      </c>
      <c r="E49" s="53"/>
      <c r="F49" s="54"/>
      <c r="G49" s="40"/>
      <c r="H49" s="40"/>
      <c r="I49" s="40"/>
      <c r="J49" s="40"/>
      <c r="K49" s="40"/>
      <c r="L49" s="41"/>
    </row>
    <row r="50" ht="15.6" spans="1:12">
      <c r="A50" s="36"/>
      <c r="B50" s="103"/>
      <c r="C50" s="55">
        <v>85</v>
      </c>
      <c r="D50" s="56">
        <v>0</v>
      </c>
      <c r="E50" s="53"/>
      <c r="F50" s="54"/>
      <c r="G50" s="40"/>
      <c r="H50" s="40"/>
      <c r="I50" s="40"/>
      <c r="J50" s="40"/>
      <c r="K50" s="40"/>
      <c r="L50" s="41"/>
    </row>
    <row r="51" ht="16.35" spans="1:12">
      <c r="A51" s="45"/>
      <c r="B51" s="104"/>
      <c r="C51" s="57"/>
      <c r="D51" s="58"/>
      <c r="E51" s="59"/>
      <c r="F51" s="60"/>
      <c r="G51" s="61"/>
      <c r="H51" s="61"/>
      <c r="I51" s="61"/>
      <c r="J51" s="61"/>
      <c r="K51" s="61"/>
      <c r="L51" s="62"/>
    </row>
    <row r="52" ht="15.6" spans="1:12">
      <c r="A52" s="35" t="s">
        <v>55</v>
      </c>
      <c r="B52" s="94" t="s">
        <v>45</v>
      </c>
      <c r="C52" s="6" t="s">
        <v>56</v>
      </c>
      <c r="D52" s="7" t="s">
        <v>57</v>
      </c>
      <c r="E52" s="8"/>
      <c r="F52" s="105"/>
      <c r="G52" s="106"/>
      <c r="H52" s="106"/>
      <c r="I52" s="106"/>
      <c r="J52" s="106"/>
      <c r="K52" s="106"/>
      <c r="L52" s="107"/>
    </row>
    <row r="53" ht="27.6" spans="1:12">
      <c r="A53" s="36"/>
      <c r="B53" s="108" t="s">
        <v>60</v>
      </c>
      <c r="C53" s="55">
        <v>-40</v>
      </c>
      <c r="D53" s="56">
        <v>7350</v>
      </c>
      <c r="E53" s="102" t="s">
        <v>59</v>
      </c>
      <c r="F53" s="105"/>
      <c r="G53" s="106"/>
      <c r="H53" s="106"/>
      <c r="I53" s="106"/>
      <c r="J53" s="106"/>
      <c r="K53" s="106"/>
      <c r="L53" s="107"/>
    </row>
    <row r="54" ht="27.6" spans="1:12">
      <c r="A54" s="36"/>
      <c r="B54" s="108"/>
      <c r="C54" s="55">
        <v>-32.5</v>
      </c>
      <c r="D54" s="56">
        <v>7350</v>
      </c>
      <c r="E54" s="102" t="s">
        <v>59</v>
      </c>
      <c r="F54" s="105"/>
      <c r="G54" s="106"/>
      <c r="H54" s="106"/>
      <c r="I54" s="106"/>
      <c r="J54" s="106"/>
      <c r="K54" s="106"/>
      <c r="L54" s="107"/>
    </row>
    <row r="55" ht="27.6" spans="1:12">
      <c r="A55" s="36"/>
      <c r="B55" s="108"/>
      <c r="C55" s="55">
        <v>-25</v>
      </c>
      <c r="D55" s="56">
        <v>7350</v>
      </c>
      <c r="E55" s="102" t="s">
        <v>59</v>
      </c>
      <c r="F55" s="105"/>
      <c r="G55" s="106"/>
      <c r="H55" s="106"/>
      <c r="I55" s="106"/>
      <c r="J55" s="106"/>
      <c r="K55" s="106"/>
      <c r="L55" s="107"/>
    </row>
    <row r="56" ht="15.6" spans="1:12">
      <c r="A56" s="36"/>
      <c r="B56" s="108"/>
      <c r="C56" s="55">
        <v>0</v>
      </c>
      <c r="D56" s="56">
        <v>7350</v>
      </c>
      <c r="E56" s="102"/>
      <c r="F56" s="105"/>
      <c r="G56" s="106"/>
      <c r="H56" s="106"/>
      <c r="I56" s="106"/>
      <c r="J56" s="106"/>
      <c r="K56" s="106"/>
      <c r="L56" s="107"/>
    </row>
    <row r="57" ht="15.6" spans="1:12">
      <c r="A57" s="36"/>
      <c r="B57" s="108"/>
      <c r="C57" s="55">
        <v>55</v>
      </c>
      <c r="D57" s="56">
        <v>7350</v>
      </c>
      <c r="E57" s="102"/>
      <c r="F57" s="105"/>
      <c r="G57" s="106"/>
      <c r="H57" s="106"/>
      <c r="I57" s="106"/>
      <c r="J57" s="106"/>
      <c r="K57" s="106"/>
      <c r="L57" s="107"/>
    </row>
    <row r="58" ht="15.6" spans="1:12">
      <c r="A58" s="36"/>
      <c r="B58" s="108"/>
      <c r="C58" s="55">
        <v>60</v>
      </c>
      <c r="D58" s="56">
        <v>6125</v>
      </c>
      <c r="E58" s="102"/>
      <c r="F58" s="105"/>
      <c r="G58" s="106"/>
      <c r="H58" s="106"/>
      <c r="I58" s="106"/>
      <c r="J58" s="106"/>
      <c r="K58" s="106"/>
      <c r="L58" s="107"/>
    </row>
    <row r="59" ht="15.6" spans="1:12">
      <c r="A59" s="36"/>
      <c r="B59" s="108"/>
      <c r="C59" s="55">
        <v>65</v>
      </c>
      <c r="D59" s="56">
        <f>ROUND(($D$60-$D$58)/($C$60-$C$58)*(C59-$C$60),0)+D60</f>
        <v>4900</v>
      </c>
      <c r="E59" s="102"/>
      <c r="F59" s="105"/>
      <c r="G59" s="106"/>
      <c r="H59" s="106"/>
      <c r="I59" s="106"/>
      <c r="J59" s="106"/>
      <c r="K59" s="106"/>
      <c r="L59" s="107"/>
    </row>
    <row r="60" ht="15.6" spans="1:12">
      <c r="A60" s="36"/>
      <c r="B60" s="108"/>
      <c r="C60" s="55">
        <v>85</v>
      </c>
      <c r="D60" s="56">
        <v>0</v>
      </c>
      <c r="E60" s="102"/>
      <c r="F60" s="105"/>
      <c r="G60" s="106"/>
      <c r="H60" s="106"/>
      <c r="I60" s="106"/>
      <c r="J60" s="106"/>
      <c r="K60" s="106"/>
      <c r="L60" s="107"/>
    </row>
    <row r="61" ht="14.55" spans="1:12">
      <c r="A61" s="45"/>
      <c r="B61" s="108"/>
      <c r="C61" s="109"/>
      <c r="D61" s="109"/>
      <c r="E61" s="102"/>
      <c r="F61" s="105"/>
      <c r="G61" s="106"/>
      <c r="H61" s="106"/>
      <c r="I61" s="106"/>
      <c r="J61" s="106"/>
      <c r="K61" s="106"/>
      <c r="L61" s="107"/>
    </row>
    <row r="62" ht="15.6" spans="1:12">
      <c r="A62" s="5" t="s">
        <v>61</v>
      </c>
      <c r="B62" s="74"/>
      <c r="C62" s="63" t="s">
        <v>62</v>
      </c>
      <c r="D62" s="63"/>
      <c r="E62" s="64"/>
      <c r="F62" s="65"/>
      <c r="G62" s="66"/>
      <c r="H62" s="66"/>
      <c r="I62" s="66"/>
      <c r="J62" s="66"/>
      <c r="K62" s="66"/>
      <c r="L62" s="67"/>
    </row>
    <row r="63" ht="20.15" customHeight="1" spans="1:12">
      <c r="A63" s="68"/>
      <c r="B63" s="95"/>
      <c r="C63" s="69"/>
      <c r="D63" s="69"/>
      <c r="E63" s="70"/>
      <c r="F63" s="71"/>
      <c r="G63" s="72"/>
      <c r="H63" s="72"/>
      <c r="I63" s="72"/>
      <c r="J63" s="72"/>
      <c r="K63" s="72"/>
      <c r="L63" s="73"/>
    </row>
  </sheetData>
  <mergeCells count="17">
    <mergeCell ref="A1:L1"/>
    <mergeCell ref="A2:A14"/>
    <mergeCell ref="A15:A26"/>
    <mergeCell ref="A27:A41"/>
    <mergeCell ref="A42:A51"/>
    <mergeCell ref="A52:A61"/>
    <mergeCell ref="A62:A63"/>
    <mergeCell ref="B3:B14"/>
    <mergeCell ref="B16:B26"/>
    <mergeCell ref="B28:B41"/>
    <mergeCell ref="B43:B51"/>
    <mergeCell ref="B53:B61"/>
    <mergeCell ref="C62:E63"/>
    <mergeCell ref="F62:L63"/>
    <mergeCell ref="F2:L14"/>
    <mergeCell ref="F27:L41"/>
    <mergeCell ref="F42:L51"/>
  </mergeCells>
  <pageMargins left="0.75" right="0.75" top="1" bottom="1" header="0.5" footer="0.5"/>
  <pageSetup paperSize="9" orientation="portrait"/>
  <headerFooter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Curves'!D31</xm:f>
              <xm:sqref>E31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Curves'!D32</xm:f>
              <xm:sqref>E32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Curves'!C19</xm:f>
              <xm:sqref>D19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Curves'!C22</xm:f>
              <xm:sqref>D22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Curves'!D18</xm:f>
              <xm:sqref>E18</xm:sqref>
            </x14:sparkline>
            <x14:sparkline>
              <xm:f>'OBC Charge Derating Curves'!D19</xm:f>
              <xm:sqref>E19</xm:sqref>
            </x14:sparkline>
            <x14:sparkline>
              <xm:f>'OBC Charge Derating Curves'!D20</xm:f>
              <xm:sqref>E20</xm:sqref>
            </x14:sparkline>
            <x14:sparkline>
              <xm:f>'OBC Charge Derating Curves'!D21</xm:f>
              <xm:sqref>E21</xm:sqref>
            </x14:sparkline>
            <x14:sparkline>
              <xm:f>'OBC Charge Derating Curves'!D22</xm:f>
              <xm:sqref>E22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Curves'!C18</xm:f>
              <xm:sqref>D18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Curves'!C6</xm:f>
              <xm:sqref>D6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Curves'!C8</xm:f>
              <xm:sqref>D8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Curves'!C9</xm:f>
              <xm:sqref>D9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Curves'!C7</xm:f>
              <xm:sqref>D7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Curves'!D11</xm:f>
              <xm:sqref>E11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Curves'!D33</xm:f>
              <xm:sqref>E33</xm:sqref>
            </x14:sparkline>
            <x14:sparkline>
              <xm:f>'OBC Charge Derating Curves'!D34</xm:f>
              <xm:sqref>E34</xm:sqref>
            </x14:sparkline>
            <x14:sparkline>
              <xm:f>'OBC Charge Derating Curves'!D35</xm:f>
              <xm:sqref>E35</xm:sqref>
            </x14:sparkline>
            <x14:sparkline>
              <xm:f>'OBC Charge Derating Curves'!D36</xm:f>
              <xm:sqref>E36</xm:sqref>
            </x14:sparkline>
            <x14:sparkline>
              <xm:f>'OBC Charge Derating Curves'!D37</xm:f>
              <xm:sqref>E37</xm:sqref>
            </x14:sparkline>
            <x14:sparkline>
              <xm:f>'OBC Charge Derating Curves'!D38</xm:f>
              <xm:sqref>E38</xm:sqref>
            </x14:sparkline>
            <x14:sparkline>
              <xm:f>'OBC Charge Derating Curves'!D39</xm:f>
              <xm:sqref>E39</xm:sqref>
            </x14:sparkline>
            <x14:sparkline>
              <xm:f>'OBC Charge Derating Curves'!D40</xm:f>
              <xm:sqref>E40</xm:sqref>
            </x14:sparkline>
            <x14:sparkline>
              <xm:f>'OBC Charge Derating Curves'!D41</xm:f>
              <xm:sqref>E41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Curves'!C10</xm:f>
              <xm:sqref>D10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Curves'!D14</xm:f>
              <xm:sqref>E14</xm:sqref>
            </x14:sparkline>
            <x14:sparkline>
              <xm:f>'OBC Charge Derating Curves'!D16</xm:f>
              <xm:sqref>E16</xm:sqref>
            </x14:sparkline>
            <x14:sparkline>
              <xm:f>'OBC Charge Derating Curves'!D23</xm:f>
              <xm:sqref>E23</xm:sqref>
            </x14:sparkline>
            <x14:sparkline>
              <xm:f>'OBC Charge Derating Curves'!D25</xm:f>
              <xm:sqref>E25</xm:sqref>
            </x14:sparkline>
            <x14:sparkline>
              <xm:f>'OBC Charge Derating Curves'!D26</xm:f>
              <xm:sqref>E26</xm:sqref>
            </x14:sparkline>
            <x14:sparkline>
              <xm:f>'OBC Charge Derating Curves'!D17</xm:f>
              <xm:sqref>E17</xm:sqref>
            </x14:sparkline>
            <x14:sparkline>
              <xm:f>'OBC Charge Derating Curves'!D24</xm:f>
              <xm:sqref>E24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Curves'!C13</xm:f>
              <xm:sqref>D13</xm:sqref>
            </x14:sparkline>
            <x14:sparkline>
              <xm:f>'OBC Charge Derating Curves'!C14</xm:f>
              <xm:sqref>D14</xm:sqref>
            </x14:sparkline>
            <x14:sparkline>
              <xm:f>'OBC Charge Derating Curves'!C16</xm:f>
              <xm:sqref>D16</xm:sqref>
            </x14:sparkline>
            <x14:sparkline>
              <xm:f>'OBC Charge Derating Curves'!C23</xm:f>
              <xm:sqref>D23</xm:sqref>
            </x14:sparkline>
            <x14:sparkline>
              <xm:f>'OBC Charge Derating Curves'!C25</xm:f>
              <xm:sqref>D25</xm:sqref>
            </x14:sparkline>
            <x14:sparkline>
              <xm:f>'OBC Charge Derating Curves'!C26</xm:f>
              <xm:sqref>D26</xm:sqref>
            </x14:sparkline>
            <x14:sparkline>
              <xm:f>'OBC Charge Derating Curves'!C17</xm:f>
              <xm:sqref>D17</xm:sqref>
            </x14:sparkline>
            <x14:sparkline>
              <xm:f>'OBC Charge Derating Curves'!C24</xm:f>
              <xm:sqref>D24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Curves'!C12</xm:f>
              <xm:sqref>D12</xm:sqref>
            </x14:sparkline>
            <x14:sparkline>
              <xm:f>'OBC Charge Derating Curves'!C11</xm:f>
              <xm:sqref>D11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Curves'!D13</xm:f>
              <xm:sqref>E13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Curves'!D10</xm:f>
              <xm:sqref>E10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Curves'!D12</xm:f>
              <xm:sqref>E12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Curves'!C5</xm:f>
              <xm:sqref>D5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'OBC Charge Derating Curves'!C4</xm:f>
              <xm:sqref>D4</xm:sqref>
            </x14:sparkline>
            <x14:sparkline>
              <xm:f>'OBC Charge Derating Curves'!D4</xm:f>
              <xm:sqref>E4</xm:sqref>
            </x14:sparkline>
            <x14:sparkline>
              <xm:f>'OBC Charge Derating Curves'!D5</xm:f>
              <xm:sqref>E5</xm:sqref>
            </x14:sparkline>
            <x14:sparkline>
              <xm:f>'OBC Charge Derating Curves'!D7</xm:f>
              <xm:sqref>E7</xm:sqref>
            </x14:sparkline>
            <x14:sparkline>
              <xm:f>'OBC Charge Derating Curves'!D9</xm:f>
              <xm:sqref>E9</xm:sqref>
            </x14:sparkline>
            <x14:sparkline>
              <xm:f>'OBC Charge Derating Curves'!D8</xm:f>
              <xm:sqref>E8</xm:sqref>
            </x14:sparkline>
            <x14:sparkline>
              <xm:f>'OBC Charge Derating Curves'!D6</xm:f>
              <xm:sqref>E6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30" zoomScaleNormal="130" workbookViewId="0">
      <selection activeCell="D17" sqref="D17"/>
    </sheetView>
  </sheetViews>
  <sheetFormatPr defaultColWidth="9" defaultRowHeight="13.8"/>
  <cols>
    <col min="2" max="2" width="22.8333333333333" customWidth="1"/>
    <col min="3" max="3" width="22.5" customWidth="1"/>
    <col min="4" max="4" width="22.0833333333333" customWidth="1"/>
    <col min="5" max="5" width="19.5833333333333" customWidth="1"/>
  </cols>
  <sheetData>
    <row r="1" ht="21.15" spans="1:12">
      <c r="A1" s="3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5.6" spans="1:12">
      <c r="A2" s="5" t="s">
        <v>44</v>
      </c>
      <c r="B2" s="74" t="s">
        <v>45</v>
      </c>
      <c r="C2" s="6" t="s">
        <v>46</v>
      </c>
      <c r="D2" s="7" t="s">
        <v>63</v>
      </c>
      <c r="E2" s="8" t="s">
        <v>48</v>
      </c>
      <c r="F2" s="9"/>
      <c r="G2" s="10"/>
      <c r="H2" s="10"/>
      <c r="I2" s="10"/>
      <c r="J2" s="10"/>
      <c r="K2" s="10"/>
      <c r="L2" s="11"/>
    </row>
    <row r="3" ht="15.6" spans="1:12">
      <c r="A3" s="75"/>
      <c r="B3" s="76" t="s">
        <v>64</v>
      </c>
      <c r="C3" s="77"/>
      <c r="D3" s="78"/>
      <c r="E3" s="79"/>
      <c r="F3" s="16"/>
      <c r="G3" s="17"/>
      <c r="H3" s="17"/>
      <c r="I3" s="17"/>
      <c r="J3" s="17"/>
      <c r="K3" s="17"/>
      <c r="L3" s="18"/>
    </row>
    <row r="4" ht="15.6" spans="1:12">
      <c r="A4" s="75"/>
      <c r="B4" s="80"/>
      <c r="C4" s="77">
        <v>750</v>
      </c>
      <c r="D4" s="78">
        <f>220*E4</f>
        <v>6600</v>
      </c>
      <c r="E4" s="79">
        <v>30</v>
      </c>
      <c r="F4" s="16"/>
      <c r="G4" s="17"/>
      <c r="H4" s="17"/>
      <c r="I4" s="17"/>
      <c r="J4" s="17"/>
      <c r="K4" s="17"/>
      <c r="L4" s="18"/>
    </row>
    <row r="5" ht="15.6" spans="1:12">
      <c r="A5" s="75"/>
      <c r="B5" s="80"/>
      <c r="C5" s="77">
        <v>660</v>
      </c>
      <c r="D5" s="78">
        <f>220*E5</f>
        <v>6600</v>
      </c>
      <c r="E5" s="79">
        <v>30</v>
      </c>
      <c r="F5" s="16"/>
      <c r="G5" s="17"/>
      <c r="H5" s="17"/>
      <c r="I5" s="17"/>
      <c r="J5" s="17"/>
      <c r="K5" s="17"/>
      <c r="L5" s="18"/>
    </row>
    <row r="6" ht="15.6" spans="1:12">
      <c r="A6" s="75"/>
      <c r="B6" s="80"/>
      <c r="C6" s="77">
        <v>580</v>
      </c>
      <c r="D6" s="78">
        <f>220*E6</f>
        <v>6600</v>
      </c>
      <c r="E6" s="79">
        <v>30</v>
      </c>
      <c r="F6" s="16"/>
      <c r="G6" s="17"/>
      <c r="H6" s="17"/>
      <c r="I6" s="17"/>
      <c r="J6" s="17"/>
      <c r="K6" s="17"/>
      <c r="L6" s="18"/>
    </row>
    <row r="7" ht="15.6" spans="1:12">
      <c r="A7" s="75"/>
      <c r="B7" s="80"/>
      <c r="C7" s="77"/>
      <c r="D7" s="78"/>
      <c r="E7" s="79"/>
      <c r="F7" s="16"/>
      <c r="G7" s="17"/>
      <c r="H7" s="17"/>
      <c r="I7" s="17"/>
      <c r="J7" s="17"/>
      <c r="K7" s="17"/>
      <c r="L7" s="18"/>
    </row>
    <row r="8" ht="15.6" spans="1:12">
      <c r="A8" s="75"/>
      <c r="B8" s="80"/>
      <c r="C8" s="77"/>
      <c r="D8" s="78"/>
      <c r="E8" s="79"/>
      <c r="F8" s="16"/>
      <c r="G8" s="17"/>
      <c r="H8" s="17"/>
      <c r="I8" s="17"/>
      <c r="J8" s="17"/>
      <c r="K8" s="17"/>
      <c r="L8" s="18"/>
    </row>
    <row r="9" ht="15.6" spans="1:12">
      <c r="A9" s="75"/>
      <c r="B9" s="80"/>
      <c r="C9" s="77"/>
      <c r="D9" s="78"/>
      <c r="E9" s="79"/>
      <c r="F9" s="16"/>
      <c r="G9" s="17"/>
      <c r="H9" s="17"/>
      <c r="I9" s="17"/>
      <c r="J9" s="17"/>
      <c r="K9" s="17"/>
      <c r="L9" s="18"/>
    </row>
    <row r="10" ht="15.6" spans="1:12">
      <c r="A10" s="75"/>
      <c r="B10" s="80"/>
      <c r="C10" s="77"/>
      <c r="D10" s="78"/>
      <c r="E10" s="79"/>
      <c r="F10" s="16"/>
      <c r="G10" s="17"/>
      <c r="H10" s="17"/>
      <c r="I10" s="17"/>
      <c r="J10" s="17"/>
      <c r="K10" s="17"/>
      <c r="L10" s="18"/>
    </row>
    <row r="11" ht="15.6" spans="1:12">
      <c r="A11" s="75"/>
      <c r="B11" s="80"/>
      <c r="C11" s="77"/>
      <c r="D11" s="78"/>
      <c r="E11" s="79"/>
      <c r="F11" s="16"/>
      <c r="G11" s="17"/>
      <c r="H11" s="17"/>
      <c r="I11" s="17"/>
      <c r="J11" s="17"/>
      <c r="K11" s="17"/>
      <c r="L11" s="18"/>
    </row>
    <row r="12" ht="16.35" spans="1:12">
      <c r="A12" s="68"/>
      <c r="B12" s="81"/>
      <c r="C12" s="82"/>
      <c r="D12" s="83"/>
      <c r="E12" s="84"/>
      <c r="F12" s="32"/>
      <c r="G12" s="33"/>
      <c r="H12" s="33"/>
      <c r="I12" s="33"/>
      <c r="J12" s="33"/>
      <c r="K12" s="33"/>
      <c r="L12" s="34"/>
    </row>
    <row r="13" ht="15.6" spans="1:12">
      <c r="A13" s="35" t="s">
        <v>55</v>
      </c>
      <c r="B13" s="74" t="s">
        <v>45</v>
      </c>
      <c r="C13" s="6" t="s">
        <v>56</v>
      </c>
      <c r="D13" s="7" t="s">
        <v>65</v>
      </c>
      <c r="E13" s="8"/>
      <c r="F13" s="48"/>
      <c r="G13" s="49"/>
      <c r="H13" s="49"/>
      <c r="I13" s="49"/>
      <c r="J13" s="49"/>
      <c r="K13" s="49"/>
      <c r="L13" s="50"/>
    </row>
    <row r="14" ht="15.6" spans="1:12">
      <c r="A14" s="85"/>
      <c r="B14" s="86" t="s">
        <v>66</v>
      </c>
      <c r="C14" s="13"/>
      <c r="D14" s="14"/>
      <c r="E14" s="87"/>
      <c r="F14" s="54"/>
      <c r="G14" s="40"/>
      <c r="H14" s="40"/>
      <c r="I14" s="40"/>
      <c r="J14" s="40"/>
      <c r="K14" s="40"/>
      <c r="L14" s="41"/>
    </row>
    <row r="15" ht="15.6" spans="1:12">
      <c r="A15" s="85"/>
      <c r="B15" s="86"/>
      <c r="C15" s="13"/>
      <c r="D15" s="14"/>
      <c r="E15" s="87"/>
      <c r="F15" s="54"/>
      <c r="G15" s="40"/>
      <c r="H15" s="40"/>
      <c r="I15" s="40"/>
      <c r="J15" s="40"/>
      <c r="K15" s="40"/>
      <c r="L15" s="41"/>
    </row>
    <row r="16" ht="15.6" spans="1:12">
      <c r="A16" s="85"/>
      <c r="B16" s="86"/>
      <c r="C16" s="55"/>
      <c r="D16" s="88"/>
      <c r="E16" s="53"/>
      <c r="F16" s="54"/>
      <c r="G16" s="40"/>
      <c r="H16" s="40"/>
      <c r="I16" s="40"/>
      <c r="J16" s="40"/>
      <c r="K16" s="40"/>
      <c r="L16" s="41"/>
    </row>
    <row r="17" ht="15.6" spans="1:12">
      <c r="A17" s="85"/>
      <c r="B17" s="86"/>
      <c r="C17" s="55">
        <v>-40</v>
      </c>
      <c r="D17" s="88">
        <v>0</v>
      </c>
      <c r="E17" s="89" t="s">
        <v>67</v>
      </c>
      <c r="F17" s="54"/>
      <c r="G17" s="40"/>
      <c r="H17" s="40"/>
      <c r="I17" s="40"/>
      <c r="J17" s="40"/>
      <c r="K17" s="40"/>
      <c r="L17" s="41"/>
    </row>
    <row r="18" ht="15.6" spans="1:12">
      <c r="A18" s="85"/>
      <c r="B18" s="86"/>
      <c r="C18" s="55">
        <v>-25</v>
      </c>
      <c r="D18" s="88">
        <v>6600</v>
      </c>
      <c r="E18" s="53"/>
      <c r="F18" s="54"/>
      <c r="G18" s="40"/>
      <c r="H18" s="40"/>
      <c r="I18" s="40"/>
      <c r="J18" s="40"/>
      <c r="K18" s="40"/>
      <c r="L18" s="41"/>
    </row>
    <row r="19" ht="15.6" hidden="1" spans="1:12">
      <c r="A19" s="85"/>
      <c r="B19" s="86"/>
      <c r="C19" s="55">
        <v>0</v>
      </c>
      <c r="D19" s="88">
        <v>3680</v>
      </c>
      <c r="E19" s="53"/>
      <c r="F19" s="54"/>
      <c r="G19" s="40"/>
      <c r="H19" s="40"/>
      <c r="I19" s="40"/>
      <c r="J19" s="40"/>
      <c r="K19" s="40"/>
      <c r="L19" s="41"/>
    </row>
    <row r="20" ht="15.6" spans="1:12">
      <c r="A20" s="85"/>
      <c r="B20" s="86"/>
      <c r="C20" s="55">
        <v>20</v>
      </c>
      <c r="D20" s="88">
        <v>6600</v>
      </c>
      <c r="E20" s="53"/>
      <c r="F20" s="54"/>
      <c r="G20" s="40"/>
      <c r="H20" s="40"/>
      <c r="I20" s="40"/>
      <c r="J20" s="40"/>
      <c r="K20" s="40"/>
      <c r="L20" s="41"/>
    </row>
    <row r="21" ht="15.6" spans="1:12">
      <c r="A21" s="85"/>
      <c r="B21" s="86"/>
      <c r="C21" s="55">
        <v>40</v>
      </c>
      <c r="D21" s="88">
        <v>6600</v>
      </c>
      <c r="E21" s="53"/>
      <c r="F21" s="54"/>
      <c r="G21" s="40"/>
      <c r="H21" s="40"/>
      <c r="I21" s="40"/>
      <c r="J21" s="40"/>
      <c r="K21" s="40"/>
      <c r="L21" s="41"/>
    </row>
    <row r="22" ht="15.6" hidden="1" spans="1:12">
      <c r="A22" s="85"/>
      <c r="B22" s="86"/>
      <c r="C22" s="55">
        <v>55</v>
      </c>
      <c r="D22" s="88">
        <v>3680</v>
      </c>
      <c r="E22" s="53"/>
      <c r="F22" s="54"/>
      <c r="G22" s="40"/>
      <c r="H22" s="40"/>
      <c r="I22" s="40"/>
      <c r="J22" s="40"/>
      <c r="K22" s="40"/>
      <c r="L22" s="41"/>
    </row>
    <row r="23" ht="15.6" spans="1:12">
      <c r="A23" s="85"/>
      <c r="B23" s="86"/>
      <c r="C23" s="55">
        <v>60</v>
      </c>
      <c r="D23" s="88">
        <v>6600</v>
      </c>
      <c r="E23" s="53"/>
      <c r="F23" s="54"/>
      <c r="G23" s="40"/>
      <c r="H23" s="40"/>
      <c r="I23" s="40"/>
      <c r="J23" s="40"/>
      <c r="K23" s="40"/>
      <c r="L23" s="41"/>
    </row>
    <row r="24" ht="15.6" spans="1:12">
      <c r="A24" s="85"/>
      <c r="B24" s="86"/>
      <c r="C24" s="90">
        <v>85</v>
      </c>
      <c r="D24" s="91">
        <v>0</v>
      </c>
      <c r="E24" s="92"/>
      <c r="F24" s="54"/>
      <c r="G24" s="40"/>
      <c r="H24" s="40"/>
      <c r="I24" s="40"/>
      <c r="J24" s="40"/>
      <c r="K24" s="40"/>
      <c r="L24" s="41"/>
    </row>
    <row r="25" ht="16.35" spans="1:12">
      <c r="A25" s="93"/>
      <c r="B25" s="86"/>
      <c r="C25" s="57"/>
      <c r="D25" s="58"/>
      <c r="E25" s="59"/>
      <c r="F25" s="60"/>
      <c r="G25" s="61"/>
      <c r="H25" s="61"/>
      <c r="I25" s="61"/>
      <c r="J25" s="61"/>
      <c r="K25" s="61"/>
      <c r="L25" s="62"/>
    </row>
    <row r="26" ht="15.6" spans="1:12">
      <c r="A26" s="5" t="s">
        <v>61</v>
      </c>
      <c r="B26" s="94"/>
      <c r="C26" s="63" t="s">
        <v>68</v>
      </c>
      <c r="D26" s="63"/>
      <c r="E26" s="64"/>
      <c r="F26" s="65"/>
      <c r="G26" s="66"/>
      <c r="H26" s="66"/>
      <c r="I26" s="66"/>
      <c r="J26" s="66"/>
      <c r="K26" s="66"/>
      <c r="L26" s="67"/>
    </row>
    <row r="27" ht="16.35" spans="1:12">
      <c r="A27" s="68"/>
      <c r="B27" s="95"/>
      <c r="C27" s="69"/>
      <c r="D27" s="69"/>
      <c r="E27" s="70"/>
      <c r="F27" s="71"/>
      <c r="G27" s="72"/>
      <c r="H27" s="72"/>
      <c r="I27" s="72"/>
      <c r="J27" s="72"/>
      <c r="K27" s="72"/>
      <c r="L27" s="73"/>
    </row>
  </sheetData>
  <mergeCells count="10">
    <mergeCell ref="A1:L1"/>
    <mergeCell ref="A2:A12"/>
    <mergeCell ref="A13:A25"/>
    <mergeCell ref="A26:A27"/>
    <mergeCell ref="B3:B12"/>
    <mergeCell ref="B14:B25"/>
    <mergeCell ref="F2:L12"/>
    <mergeCell ref="F13:L25"/>
    <mergeCell ref="C26:E27"/>
    <mergeCell ref="F26:L27"/>
  </mergeCells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Curves'!C3</xm:f>
              <xm:sqref>D3</xm:sqref>
            </x14:sparkline>
            <x14:sparkline>
              <xm:f>'V2L Derating Curves'!D3</xm:f>
              <xm:sqref>E3</xm:sqref>
            </x14:sparkline>
            <x14:sparkline>
              <xm:f>'V2L Derating Curves'!D4</xm:f>
              <xm:sqref>E4</xm:sqref>
            </x14:sparkline>
            <x14:sparkline>
              <xm:f>'V2L Derating Curves'!D5</xm:f>
              <xm:sqref>E5</xm:sqref>
            </x14:sparkline>
            <x14:sparkline>
              <xm:f>'V2L Derating Curves'!D6</xm:f>
              <xm:sqref>E6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Curves'!C4</xm:f>
              <xm:sqref>D4</xm:sqref>
            </x14:sparkline>
            <x14:sparkline>
              <xm:f>'V2L Derating Curves'!C5</xm:f>
              <xm:sqref>D5</xm:sqref>
            </x14:sparkline>
            <x14:sparkline>
              <xm:f>'V2L Derating Curves'!C6</xm:f>
              <xm:sqref>D6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Curves'!D9</xm:f>
              <xm:sqref>E9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Curves'!D8</xm:f>
              <xm:sqref>E8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Curves'!D10</xm:f>
              <xm:sqref>E10</xm:sqref>
            </x14:sparkline>
            <x14:sparkline>
              <xm:f>'V2L Derating Curves'!D11</xm:f>
              <xm:sqref>E11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Curves'!C9</xm:f>
              <xm:sqref>D9</xm:sqref>
            </x14:sparkline>
            <x14:sparkline>
              <xm:f>'V2L Derating Curves'!C10</xm:f>
              <xm:sqref>D10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Curves'!C11</xm:f>
              <xm:sqref>D11</xm:sqref>
            </x14:sparkline>
            <x14:sparkline>
              <xm:f>'V2L Derating Curves'!C12</xm:f>
              <xm:sqref>D12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Curves'!D12</xm:f>
              <xm:sqref>E12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Curves'!D7</xm:f>
              <xm:sqref>E7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Curves'!C7</xm:f>
              <xm:sqref>D7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'V2L Derating Curves'!C8</xm:f>
              <xm:sqref>D8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N30" sqref="N30"/>
    </sheetView>
  </sheetViews>
  <sheetFormatPr defaultColWidth="8.58333333333333" defaultRowHeight="13.8"/>
  <cols>
    <col min="1" max="1" width="15" style="1" customWidth="1"/>
    <col min="2" max="2" width="22.8333333333333" style="1" customWidth="1"/>
    <col min="3" max="3" width="21.0833333333333" style="2" customWidth="1"/>
    <col min="4" max="4" width="21.5833333333333" style="2" customWidth="1"/>
    <col min="5" max="11" width="7.83333333333333" style="1" customWidth="1"/>
  </cols>
  <sheetData>
    <row r="1" ht="21.15" spans="1:14">
      <c r="A1" s="3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5.65" customHeight="1" spans="1:14">
      <c r="A2" s="5" t="s">
        <v>44</v>
      </c>
      <c r="B2" s="6" t="s">
        <v>46</v>
      </c>
      <c r="C2" s="7" t="s">
        <v>47</v>
      </c>
      <c r="D2" s="8" t="s">
        <v>48</v>
      </c>
      <c r="E2" s="9"/>
      <c r="F2" s="10"/>
      <c r="G2" s="10"/>
      <c r="H2" s="10"/>
      <c r="I2" s="10"/>
      <c r="J2" s="10"/>
      <c r="K2" s="11"/>
    </row>
    <row r="3" ht="15.65" customHeight="1" spans="1:14">
      <c r="A3" s="12"/>
      <c r="B3" s="13"/>
      <c r="C3" s="14"/>
      <c r="D3" s="15"/>
      <c r="E3" s="16"/>
      <c r="F3" s="17"/>
      <c r="G3" s="17"/>
      <c r="H3" s="17"/>
      <c r="I3" s="17"/>
      <c r="J3" s="17"/>
      <c r="K3" s="18"/>
    </row>
    <row r="4" ht="15.6" spans="1:14">
      <c r="A4" s="19"/>
      <c r="B4" s="20"/>
      <c r="C4" s="21"/>
      <c r="D4" s="22"/>
      <c r="E4" s="16"/>
      <c r="F4" s="17"/>
      <c r="G4" s="17"/>
      <c r="H4" s="17"/>
      <c r="I4" s="17"/>
      <c r="J4" s="17"/>
      <c r="K4" s="18"/>
    </row>
    <row r="5" ht="15.6" spans="1:14">
      <c r="A5" s="19"/>
      <c r="B5" s="20">
        <v>770</v>
      </c>
      <c r="C5" s="21">
        <v>1000</v>
      </c>
      <c r="D5" s="22">
        <f t="shared" ref="D5:D10" si="0">C5/44</f>
        <v>22.7272727272727</v>
      </c>
      <c r="E5" s="16"/>
      <c r="F5" s="17"/>
      <c r="G5" s="17"/>
      <c r="H5" s="17"/>
      <c r="I5" s="17"/>
      <c r="J5" s="17"/>
      <c r="K5" s="18"/>
    </row>
    <row r="6" ht="15.6" spans="1:14">
      <c r="A6" s="19"/>
      <c r="B6" s="20">
        <v>740</v>
      </c>
      <c r="C6" s="21">
        <v>1750</v>
      </c>
      <c r="D6" s="22">
        <f t="shared" si="0"/>
        <v>39.7727272727273</v>
      </c>
      <c r="E6" s="16"/>
      <c r="F6" s="17"/>
      <c r="G6" s="17"/>
      <c r="H6" s="17"/>
      <c r="I6" s="17"/>
      <c r="J6" s="17"/>
      <c r="K6" s="18"/>
    </row>
    <row r="7" ht="15.6" spans="1:14">
      <c r="A7" s="19"/>
      <c r="B7" s="20">
        <v>650</v>
      </c>
      <c r="C7" s="21">
        <v>1750</v>
      </c>
      <c r="D7" s="22">
        <f t="shared" si="0"/>
        <v>39.7727272727273</v>
      </c>
      <c r="E7" s="16"/>
      <c r="F7" s="17"/>
      <c r="G7" s="17"/>
      <c r="H7" s="17"/>
      <c r="I7" s="17"/>
      <c r="J7" s="17"/>
      <c r="K7" s="18"/>
    </row>
    <row r="8" ht="15.6" spans="1:14">
      <c r="A8" s="19"/>
      <c r="B8" s="20">
        <v>600</v>
      </c>
      <c r="C8" s="21">
        <v>1750</v>
      </c>
      <c r="D8" s="22">
        <f t="shared" si="0"/>
        <v>39.7727272727273</v>
      </c>
      <c r="E8" s="16"/>
      <c r="F8" s="17"/>
      <c r="G8" s="17"/>
      <c r="H8" s="17"/>
      <c r="I8" s="17"/>
      <c r="J8" s="17"/>
      <c r="K8" s="18"/>
    </row>
    <row r="9" ht="15.6" spans="1:14">
      <c r="A9" s="19"/>
      <c r="B9" s="20">
        <v>256</v>
      </c>
      <c r="C9" s="21">
        <v>1750</v>
      </c>
      <c r="D9" s="22">
        <f t="shared" si="0"/>
        <v>39.7727272727273</v>
      </c>
      <c r="E9" s="16"/>
      <c r="F9" s="17"/>
      <c r="G9" s="17"/>
      <c r="H9" s="17"/>
      <c r="I9" s="17"/>
      <c r="J9" s="17"/>
      <c r="K9" s="18"/>
      <c r="M9" s="23" t="s">
        <v>70</v>
      </c>
      <c r="N9" s="24">
        <f>(C9-C10)/(B9-B10)</f>
        <v>16.4772727272727</v>
      </c>
    </row>
    <row r="10" ht="15.6" spans="1:14">
      <c r="A10" s="19"/>
      <c r="B10" s="20">
        <v>168</v>
      </c>
      <c r="C10" s="21">
        <v>300</v>
      </c>
      <c r="D10" s="22">
        <f t="shared" si="0"/>
        <v>6.81818181818182</v>
      </c>
      <c r="E10" s="16"/>
      <c r="F10" s="17"/>
      <c r="G10" s="17"/>
      <c r="H10" s="17"/>
      <c r="I10" s="17"/>
      <c r="J10" s="17"/>
      <c r="K10" s="18"/>
      <c r="M10" s="23" t="s">
        <v>71</v>
      </c>
      <c r="N10" s="24">
        <f>C9-N9*B9</f>
        <v>-2468.18181818182</v>
      </c>
    </row>
    <row r="11" ht="15.6" hidden="1" spans="1:14">
      <c r="A11" s="19"/>
      <c r="B11" s="20">
        <v>350</v>
      </c>
      <c r="C11" s="21">
        <f>C12</f>
        <v>875</v>
      </c>
      <c r="D11" s="22">
        <f>MIN(C11/B11,22)</f>
        <v>2.5</v>
      </c>
      <c r="E11" s="16"/>
      <c r="F11" s="17"/>
      <c r="G11" s="17"/>
      <c r="H11" s="17"/>
      <c r="I11" s="17"/>
      <c r="J11" s="17"/>
      <c r="K11" s="18"/>
      <c r="M11" s="23" t="s">
        <v>72</v>
      </c>
      <c r="N11">
        <v>180</v>
      </c>
    </row>
    <row r="12" ht="15.6" hidden="1" spans="1:14">
      <c r="A12" s="19"/>
      <c r="B12" s="25">
        <v>300</v>
      </c>
      <c r="C12" s="26">
        <f>C7/2</f>
        <v>875</v>
      </c>
      <c r="D12" s="27">
        <f>MIN(C12/B12,22)</f>
        <v>2.91666666666667</v>
      </c>
      <c r="E12" s="16"/>
      <c r="F12" s="17"/>
      <c r="G12" s="17"/>
      <c r="H12" s="17"/>
      <c r="I12" s="17"/>
      <c r="J12" s="17"/>
      <c r="K12" s="18"/>
      <c r="M12" s="23" t="s">
        <v>73</v>
      </c>
      <c r="N12" s="24">
        <f>N9*N11+N10</f>
        <v>497.727272727273</v>
      </c>
    </row>
    <row r="13" ht="15.6" spans="1:14">
      <c r="A13" s="19"/>
      <c r="B13" s="20"/>
      <c r="C13" s="21"/>
      <c r="D13" s="22"/>
      <c r="E13" s="16"/>
      <c r="F13" s="17"/>
      <c r="G13" s="17"/>
      <c r="H13" s="17"/>
      <c r="I13" s="17"/>
      <c r="J13" s="17"/>
      <c r="K13" s="18"/>
      <c r="M13" s="23" t="s">
        <v>72</v>
      </c>
      <c r="N13">
        <v>204</v>
      </c>
    </row>
    <row r="14" ht="16.35" spans="1:14">
      <c r="A14" s="28"/>
      <c r="B14" s="29"/>
      <c r="C14" s="30"/>
      <c r="D14" s="31"/>
      <c r="E14" s="32"/>
      <c r="F14" s="33"/>
      <c r="G14" s="33"/>
      <c r="H14" s="33"/>
      <c r="I14" s="33"/>
      <c r="J14" s="33"/>
      <c r="K14" s="34"/>
      <c r="M14" s="23" t="s">
        <v>74</v>
      </c>
      <c r="N14" s="24">
        <f>N9*N13+N10</f>
        <v>893.181818181818</v>
      </c>
    </row>
    <row r="15" ht="15.6" spans="1:14">
      <c r="A15" s="35" t="s">
        <v>75</v>
      </c>
      <c r="B15" s="6" t="s">
        <v>76</v>
      </c>
      <c r="C15" s="7" t="s">
        <v>47</v>
      </c>
      <c r="D15" s="8" t="s">
        <v>48</v>
      </c>
      <c r="E15" s="10"/>
      <c r="F15" s="10"/>
      <c r="G15" s="10"/>
      <c r="H15" s="10"/>
      <c r="I15" s="10"/>
      <c r="J15" s="10"/>
      <c r="K15" s="11"/>
    </row>
    <row r="16" ht="15.6" spans="1:14">
      <c r="A16" s="36"/>
      <c r="B16" s="20"/>
      <c r="C16" s="21"/>
      <c r="D16" s="22"/>
      <c r="E16" s="17"/>
      <c r="F16" s="17"/>
      <c r="G16" s="17"/>
      <c r="H16" s="17"/>
      <c r="I16" s="17"/>
      <c r="J16" s="17"/>
      <c r="K16" s="18"/>
    </row>
    <row r="17" ht="15.6" spans="1:14">
      <c r="A17" s="36"/>
      <c r="B17" s="20"/>
      <c r="C17" s="21"/>
      <c r="D17" s="22"/>
      <c r="E17" s="17"/>
      <c r="F17" s="17"/>
      <c r="G17" s="17"/>
      <c r="H17" s="17"/>
      <c r="I17" s="17"/>
      <c r="J17" s="17"/>
      <c r="K17" s="18"/>
    </row>
    <row r="18" ht="15.6" spans="1:14">
      <c r="A18" s="36"/>
      <c r="B18" s="20">
        <v>52</v>
      </c>
      <c r="C18" s="21">
        <v>1750</v>
      </c>
      <c r="D18" s="22">
        <f>C18/B18</f>
        <v>33.6538461538462</v>
      </c>
      <c r="E18" s="17"/>
      <c r="F18" s="17"/>
      <c r="G18" s="17"/>
      <c r="H18" s="17"/>
      <c r="I18" s="17"/>
      <c r="J18" s="17"/>
      <c r="K18" s="18"/>
    </row>
    <row r="19" ht="15.6" spans="1:14">
      <c r="A19" s="36"/>
      <c r="B19" s="20">
        <v>48</v>
      </c>
      <c r="C19" s="21">
        <v>1750</v>
      </c>
      <c r="D19" s="22">
        <f>C19/B19</f>
        <v>36.4583333333333</v>
      </c>
      <c r="E19" s="17"/>
      <c r="F19" s="17"/>
      <c r="G19" s="17"/>
      <c r="H19" s="17"/>
      <c r="I19" s="17"/>
      <c r="J19" s="17"/>
      <c r="K19" s="18"/>
    </row>
    <row r="20" ht="15.6" spans="1:14">
      <c r="A20" s="36"/>
      <c r="B20" s="20">
        <v>44</v>
      </c>
      <c r="C20" s="21">
        <v>1750</v>
      </c>
      <c r="D20" s="22">
        <f>C20/B20</f>
        <v>39.7727272727273</v>
      </c>
      <c r="E20" s="17"/>
      <c r="F20" s="17"/>
      <c r="G20" s="17"/>
      <c r="H20" s="17"/>
      <c r="I20" s="17"/>
      <c r="J20" s="17"/>
      <c r="K20" s="18"/>
    </row>
    <row r="21" ht="15.6" spans="1:14">
      <c r="A21" s="36"/>
      <c r="B21" s="20">
        <v>34</v>
      </c>
      <c r="C21" s="21">
        <f>B21*D21</f>
        <v>1360</v>
      </c>
      <c r="D21" s="22">
        <v>40</v>
      </c>
      <c r="E21" s="17"/>
      <c r="F21" s="17"/>
      <c r="G21" s="17"/>
      <c r="H21" s="17"/>
      <c r="I21" s="17"/>
      <c r="J21" s="17"/>
      <c r="K21" s="18"/>
    </row>
    <row r="22" ht="15.6" spans="1:14">
      <c r="A22" s="36"/>
      <c r="B22" s="20">
        <v>24</v>
      </c>
      <c r="C22" s="21">
        <f>B22*D22</f>
        <v>960</v>
      </c>
      <c r="D22" s="22">
        <v>40</v>
      </c>
      <c r="E22" s="17"/>
      <c r="F22" s="17"/>
      <c r="G22" s="17"/>
      <c r="H22" s="17"/>
      <c r="I22" s="17"/>
      <c r="J22" s="17"/>
      <c r="K22" s="18"/>
    </row>
    <row r="23" ht="15.6" spans="1:14">
      <c r="A23" s="36"/>
      <c r="B23" s="20"/>
      <c r="C23" s="21"/>
      <c r="D23" s="22"/>
      <c r="E23" s="17"/>
      <c r="F23" s="17"/>
      <c r="G23" s="17"/>
      <c r="H23" s="17"/>
      <c r="I23" s="17"/>
      <c r="J23" s="17"/>
      <c r="K23" s="18"/>
    </row>
    <row r="24" ht="15.6" spans="1:14">
      <c r="A24" s="36"/>
      <c r="B24" s="20"/>
      <c r="C24" s="21"/>
      <c r="D24" s="22"/>
      <c r="E24" s="17"/>
      <c r="F24" s="17"/>
      <c r="G24" s="17"/>
      <c r="H24" s="17"/>
      <c r="I24" s="17"/>
      <c r="J24" s="17"/>
      <c r="K24" s="18"/>
    </row>
    <row r="25" ht="15.6" spans="1:14">
      <c r="A25" s="36"/>
      <c r="B25" s="20"/>
      <c r="C25" s="21"/>
      <c r="D25" s="22"/>
      <c r="E25" s="17"/>
      <c r="F25" s="17"/>
      <c r="G25" s="17"/>
      <c r="H25" s="17"/>
      <c r="I25" s="17"/>
      <c r="J25" s="17"/>
      <c r="K25" s="18"/>
    </row>
    <row r="26" ht="16.35" spans="1:14">
      <c r="A26" s="36"/>
      <c r="B26" s="37"/>
      <c r="C26" s="38"/>
      <c r="D26" s="39"/>
      <c r="E26" s="33"/>
      <c r="F26" s="33"/>
      <c r="G26" s="33"/>
      <c r="H26" s="33"/>
      <c r="I26" s="33"/>
      <c r="J26" s="33"/>
      <c r="K26" s="34"/>
    </row>
    <row r="27" ht="15.6" spans="1:14">
      <c r="A27" s="35" t="s">
        <v>77</v>
      </c>
      <c r="B27" s="6" t="s">
        <v>46</v>
      </c>
      <c r="C27" s="7" t="s">
        <v>78</v>
      </c>
      <c r="D27" s="8"/>
      <c r="E27" s="40"/>
      <c r="F27" s="40"/>
      <c r="G27" s="40"/>
      <c r="H27" s="40"/>
      <c r="I27" s="40"/>
      <c r="J27" s="40"/>
      <c r="K27" s="41"/>
    </row>
    <row r="28" ht="15.6" spans="1:14">
      <c r="A28" s="36"/>
      <c r="B28" s="42"/>
      <c r="C28" s="43"/>
      <c r="D28" s="44"/>
      <c r="E28" s="40"/>
      <c r="F28" s="40"/>
      <c r="G28" s="40"/>
      <c r="H28" s="40"/>
      <c r="I28" s="40"/>
      <c r="J28" s="40"/>
      <c r="K28" s="41"/>
      <c r="M28" s="23" t="s">
        <v>70</v>
      </c>
      <c r="N28" s="24">
        <f>(C32-C33)/(B32-B33)</f>
        <v>0.0909090909090909</v>
      </c>
    </row>
    <row r="29" ht="15.6" spans="1:14">
      <c r="A29" s="36"/>
      <c r="B29" s="20">
        <v>770</v>
      </c>
      <c r="C29" s="20">
        <v>52</v>
      </c>
      <c r="D29" s="44"/>
      <c r="E29" s="40"/>
      <c r="F29" s="40"/>
      <c r="G29" s="40"/>
      <c r="H29" s="40"/>
      <c r="I29" s="40"/>
      <c r="J29" s="40"/>
      <c r="K29" s="41"/>
      <c r="M29" s="23" t="s">
        <v>71</v>
      </c>
      <c r="N29" s="24">
        <f>C32-N28*B32</f>
        <v>28.7272727272727</v>
      </c>
    </row>
    <row r="30" ht="15.6" spans="1:14">
      <c r="A30" s="36"/>
      <c r="B30" s="20">
        <v>740</v>
      </c>
      <c r="C30" s="20">
        <v>52</v>
      </c>
      <c r="D30" s="44"/>
      <c r="E30" s="40"/>
      <c r="F30" s="40"/>
      <c r="G30" s="40"/>
      <c r="H30" s="40"/>
      <c r="I30" s="40"/>
      <c r="J30" s="40"/>
      <c r="K30" s="41"/>
      <c r="M30" s="23" t="s">
        <v>72</v>
      </c>
      <c r="N30">
        <v>225</v>
      </c>
    </row>
    <row r="31" ht="15.6" spans="1:14">
      <c r="A31" s="36"/>
      <c r="B31" s="20">
        <v>600</v>
      </c>
      <c r="C31" s="20">
        <v>52</v>
      </c>
      <c r="D31" s="44"/>
      <c r="E31" s="40"/>
      <c r="F31" s="40"/>
      <c r="G31" s="40"/>
      <c r="H31" s="40"/>
      <c r="I31" s="40"/>
      <c r="J31" s="40"/>
      <c r="K31" s="41"/>
      <c r="M31" s="23" t="s">
        <v>73</v>
      </c>
      <c r="N31" s="24">
        <f>N28*N30+N29</f>
        <v>49.1818181818182</v>
      </c>
    </row>
    <row r="32" ht="15.6" spans="1:14">
      <c r="A32" s="36"/>
      <c r="B32" s="20">
        <v>256</v>
      </c>
      <c r="C32" s="20">
        <v>52</v>
      </c>
      <c r="D32" s="44"/>
      <c r="E32" s="40"/>
      <c r="F32" s="40"/>
      <c r="G32" s="40"/>
      <c r="H32" s="40"/>
      <c r="I32" s="40"/>
      <c r="J32" s="40"/>
      <c r="K32" s="41"/>
    </row>
    <row r="33" ht="15.6" spans="1:11">
      <c r="A33" s="36"/>
      <c r="B33" s="20">
        <v>168</v>
      </c>
      <c r="C33" s="20">
        <v>44</v>
      </c>
      <c r="D33" s="44"/>
      <c r="E33" s="40"/>
      <c r="F33" s="40"/>
      <c r="G33" s="40"/>
      <c r="H33" s="40"/>
      <c r="I33" s="40"/>
      <c r="J33" s="40"/>
      <c r="K33" s="41"/>
    </row>
    <row r="34" ht="15.6" spans="1:11">
      <c r="A34" s="36"/>
      <c r="B34" s="42"/>
      <c r="C34" s="42"/>
      <c r="D34" s="44"/>
      <c r="E34" s="40"/>
      <c r="F34" s="40"/>
      <c r="G34" s="40"/>
      <c r="H34" s="40"/>
      <c r="I34" s="40"/>
      <c r="J34" s="40"/>
      <c r="K34" s="41"/>
    </row>
    <row r="35" ht="15.6" spans="1:11">
      <c r="A35" s="36"/>
      <c r="B35" s="42"/>
      <c r="C35" s="42"/>
      <c r="D35" s="44"/>
      <c r="E35" s="40"/>
      <c r="F35" s="40"/>
      <c r="G35" s="40"/>
      <c r="H35" s="40"/>
      <c r="I35" s="40"/>
      <c r="J35" s="40"/>
      <c r="K35" s="41"/>
    </row>
    <row r="36" ht="15.6" spans="1:11">
      <c r="A36" s="36"/>
      <c r="B36" s="20"/>
      <c r="C36" s="20"/>
      <c r="D36" s="44"/>
      <c r="E36" s="40"/>
      <c r="F36" s="40"/>
      <c r="G36" s="40"/>
      <c r="H36" s="40"/>
      <c r="I36" s="40"/>
      <c r="J36" s="40"/>
      <c r="K36" s="41"/>
    </row>
    <row r="37" ht="15.6" spans="1:11">
      <c r="A37" s="36"/>
      <c r="B37" s="42"/>
      <c r="C37" s="42"/>
      <c r="D37" s="44"/>
      <c r="E37" s="40"/>
      <c r="F37" s="40"/>
      <c r="G37" s="40"/>
      <c r="H37" s="40"/>
      <c r="I37" s="40"/>
      <c r="J37" s="40"/>
      <c r="K37" s="41"/>
    </row>
    <row r="38" ht="16.35" spans="1:11">
      <c r="A38" s="45"/>
      <c r="B38" s="46"/>
      <c r="C38" s="46"/>
      <c r="D38" s="47"/>
      <c r="E38" s="40"/>
      <c r="F38" s="40"/>
      <c r="G38" s="40"/>
      <c r="H38" s="40"/>
      <c r="I38" s="40"/>
      <c r="J38" s="40"/>
      <c r="K38" s="41"/>
    </row>
    <row r="39" ht="15.6" spans="1:11">
      <c r="A39" s="36" t="s">
        <v>55</v>
      </c>
      <c r="B39" s="13" t="s">
        <v>56</v>
      </c>
      <c r="C39" s="14" t="s">
        <v>57</v>
      </c>
      <c r="D39" s="15"/>
      <c r="E39" s="48"/>
      <c r="F39" s="49"/>
      <c r="G39" s="49"/>
      <c r="H39" s="49"/>
      <c r="I39" s="49"/>
      <c r="J39" s="49"/>
      <c r="K39" s="50"/>
    </row>
    <row r="40" ht="15.6" spans="1:11">
      <c r="A40" s="36"/>
      <c r="B40" s="51">
        <v>-40</v>
      </c>
      <c r="C40" s="52">
        <v>1750</v>
      </c>
      <c r="D40" s="53"/>
      <c r="E40" s="54"/>
      <c r="F40" s="40"/>
      <c r="G40" s="40"/>
      <c r="H40" s="40"/>
      <c r="I40" s="40"/>
      <c r="J40" s="40"/>
      <c r="K40" s="41"/>
    </row>
    <row r="41" ht="15.6" spans="1:11">
      <c r="A41" s="36"/>
      <c r="B41" s="55">
        <v>-25</v>
      </c>
      <c r="C41" s="56">
        <v>1750</v>
      </c>
      <c r="D41" s="53"/>
      <c r="E41" s="54"/>
      <c r="F41" s="40"/>
      <c r="G41" s="40"/>
      <c r="H41" s="40"/>
      <c r="I41" s="40"/>
      <c r="J41" s="40"/>
      <c r="K41" s="41"/>
    </row>
    <row r="42" ht="15.6" spans="1:11">
      <c r="A42" s="36"/>
      <c r="B42" s="55">
        <v>0</v>
      </c>
      <c r="C42" s="56">
        <v>1750</v>
      </c>
      <c r="D42" s="53"/>
      <c r="E42" s="54"/>
      <c r="F42" s="40"/>
      <c r="G42" s="40"/>
      <c r="H42" s="40"/>
      <c r="I42" s="40"/>
      <c r="J42" s="40"/>
      <c r="K42" s="41"/>
    </row>
    <row r="43" ht="15.6" spans="1:11">
      <c r="A43" s="36"/>
      <c r="B43" s="55">
        <v>55</v>
      </c>
      <c r="C43" s="56">
        <v>1750</v>
      </c>
      <c r="D43" s="53"/>
      <c r="E43" s="54"/>
      <c r="F43" s="40"/>
      <c r="G43" s="40"/>
      <c r="H43" s="40"/>
      <c r="I43" s="40"/>
      <c r="J43" s="40"/>
      <c r="K43" s="41"/>
    </row>
    <row r="44" ht="15.6" spans="1:11">
      <c r="A44" s="36"/>
      <c r="B44" s="55">
        <v>65</v>
      </c>
      <c r="C44" s="56">
        <v>1750</v>
      </c>
      <c r="D44" s="53"/>
      <c r="E44" s="54"/>
      <c r="F44" s="40"/>
      <c r="G44" s="40"/>
      <c r="H44" s="40"/>
      <c r="I44" s="40"/>
      <c r="J44" s="40"/>
      <c r="K44" s="41"/>
    </row>
    <row r="45" ht="15.6" spans="1:11">
      <c r="A45" s="36"/>
      <c r="B45" s="55">
        <v>75</v>
      </c>
      <c r="C45" s="56">
        <f>ROUND(($C$46-$C$44)/($B$46-$B$44)*(B45-$B$46),0)+C46</f>
        <v>1050</v>
      </c>
      <c r="D45" s="53"/>
      <c r="E45" s="54"/>
      <c r="F45" s="40"/>
      <c r="G45" s="40"/>
      <c r="H45" s="40"/>
      <c r="I45" s="40"/>
      <c r="J45" s="40"/>
      <c r="K45" s="41"/>
    </row>
    <row r="46" ht="15.6" spans="1:11">
      <c r="A46" s="36"/>
      <c r="B46" s="55">
        <v>90</v>
      </c>
      <c r="C46" s="56">
        <v>0</v>
      </c>
      <c r="D46" s="53"/>
      <c r="E46" s="54"/>
      <c r="F46" s="40"/>
      <c r="G46" s="40"/>
      <c r="H46" s="40"/>
      <c r="I46" s="40"/>
      <c r="J46" s="40"/>
      <c r="K46" s="41"/>
    </row>
    <row r="47" ht="16.35" spans="1:11">
      <c r="A47" s="45"/>
      <c r="B47" s="57"/>
      <c r="C47" s="58"/>
      <c r="D47" s="59"/>
      <c r="E47" s="60"/>
      <c r="F47" s="61"/>
      <c r="G47" s="61"/>
      <c r="H47" s="61"/>
      <c r="I47" s="61"/>
      <c r="J47" s="61"/>
      <c r="K47" s="62"/>
    </row>
    <row r="48" spans="1:11">
      <c r="A48" s="5" t="s">
        <v>61</v>
      </c>
      <c r="B48" s="63" t="s">
        <v>62</v>
      </c>
      <c r="C48" s="63"/>
      <c r="D48" s="64"/>
      <c r="E48" s="65"/>
      <c r="F48" s="66"/>
      <c r="G48" s="66"/>
      <c r="H48" s="66"/>
      <c r="I48" s="66"/>
      <c r="J48" s="66"/>
      <c r="K48" s="67"/>
    </row>
    <row r="49" ht="20.15" customHeight="1" spans="1:11">
      <c r="A49" s="68"/>
      <c r="B49" s="69"/>
      <c r="C49" s="69"/>
      <c r="D49" s="70"/>
      <c r="E49" s="71"/>
      <c r="F49" s="72"/>
      <c r="G49" s="72"/>
      <c r="H49" s="72"/>
      <c r="I49" s="72"/>
      <c r="J49" s="72"/>
      <c r="K49" s="73"/>
    </row>
  </sheetData>
  <mergeCells count="10">
    <mergeCell ref="A1:K1"/>
    <mergeCell ref="A2:A14"/>
    <mergeCell ref="A15:A26"/>
    <mergeCell ref="A27:A38"/>
    <mergeCell ref="A39:A47"/>
    <mergeCell ref="A48:A49"/>
    <mergeCell ref="E2:K14"/>
    <mergeCell ref="E39:K47"/>
    <mergeCell ref="B48:D49"/>
    <mergeCell ref="E48:K49"/>
  </mergeCells>
  <pageMargins left="0.75" right="0.75" top="1" bottom="1" header="0.5" footer="0.5"/>
  <pageSetup paperSize="9" orientation="portrait"/>
  <headerFooter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DCDC1!B20</xm:f>
              <xm:sqref>C20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DCDC1!B19</xm:f>
              <xm:sqref>C19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DCDC1!B18</xm:f>
              <xm:sqref>C18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DCDC1!B9</xm:f>
              <xm:sqref>C9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DCDC1!B8</xm:f>
              <xm:sqref>C8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DCDC1!B7</xm:f>
              <xm:sqref>C7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DCDC1!B6</xm:f>
              <xm:sqref>C6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DCDC1!C18</xm:f>
              <xm:sqref>D18</xm:sqref>
            </x14:sparkline>
            <x14:sparkline>
              <xm:f>DCDC1!C19</xm:f>
              <xm:sqref>D19</xm:sqref>
            </x14:sparkline>
            <x14:sparkline>
              <xm:f>DCDC1!C20</xm:f>
              <xm:sqref>D20</xm:sqref>
            </x14:sparkline>
            <x14:sparkline>
              <xm:f>DCDC1!C21</xm:f>
              <xm:sqref>D21</xm:sqref>
            </x14:sparkline>
            <x14:sparkline>
              <xm:f>DCDC1!C22</xm:f>
              <xm:sqref>D22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DCDC1!C14</xm:f>
              <xm:sqref>D14</xm:sqref>
            </x14:sparkline>
            <x14:sparkline>
              <xm:f>DCDC1!C16</xm:f>
              <xm:sqref>D16</xm:sqref>
            </x14:sparkline>
            <x14:sparkline>
              <xm:f>DCDC1!C17</xm:f>
              <xm:sqref>D17</xm:sqref>
            </x14:sparkline>
            <x14:sparkline>
              <xm:f>DCDC1!C23</xm:f>
              <xm:sqref>D23</xm:sqref>
            </x14:sparkline>
            <x14:sparkline>
              <xm:f>DCDC1!C24</xm:f>
              <xm:sqref>D24</xm:sqref>
            </x14:sparkline>
            <x14:sparkline>
              <xm:f>DCDC1!C25</xm:f>
              <xm:sqref>D25</xm:sqref>
            </x14:sparkline>
            <x14:sparkline>
              <xm:f>DCDC1!C26</xm:f>
              <xm:sqref>D26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DCDC1!C13</xm:f>
              <xm:sqref>D13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DCDC1!B13</xm:f>
              <xm:sqref>C13</xm:sqref>
            </x14:sparkline>
            <x14:sparkline>
              <xm:f>DCDC1!B14</xm:f>
              <xm:sqref>C14</xm:sqref>
            </x14:sparkline>
            <x14:sparkline>
              <xm:f>DCDC1!B16</xm:f>
              <xm:sqref>C16</xm:sqref>
            </x14:sparkline>
            <x14:sparkline>
              <xm:f>DCDC1!B17</xm:f>
              <xm:sqref>C17</xm:sqref>
            </x14:sparkline>
            <x14:sparkline>
              <xm:f>DCDC1!B23</xm:f>
              <xm:sqref>C23</xm:sqref>
            </x14:sparkline>
            <x14:sparkline>
              <xm:f>DCDC1!B24</xm:f>
              <xm:sqref>C24</xm:sqref>
            </x14:sparkline>
            <x14:sparkline>
              <xm:f>DCDC1!B25</xm:f>
              <xm:sqref>C25</xm:sqref>
            </x14:sparkline>
            <x14:sparkline>
              <xm:f>DCDC1!B26</xm:f>
              <xm:sqref>C26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DCDC1!C12</xm:f>
              <xm:sqref>D12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DCDC1!C11</xm:f>
              <xm:sqref>D11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DCDC1!B11</xm:f>
              <xm:sqref>C11</xm:sqref>
            </x14:sparkline>
            <x14:sparkline>
              <xm:f>DCDC1!B12</xm:f>
              <xm:sqref>C12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DCDC1!B10</xm:f>
              <xm:sqref>C10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DCDC1!B5</xm:f>
              <xm:sqref>C5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DCDC1!B4</xm:f>
              <xm:sqref>C4</xm:sqref>
            </x14:sparkline>
            <x14:sparkline>
              <xm:f>DCDC1!C4</xm:f>
              <xm:sqref>D4</xm:sqref>
            </x14:sparkline>
            <x14:sparkline>
              <xm:f>DCDC1!C5</xm:f>
              <xm:sqref>D5</xm:sqref>
            </x14:sparkline>
            <x14:sparkline>
              <xm:f>DCDC1!C6</xm:f>
              <xm:sqref>D6</xm:sqref>
            </x14:sparkline>
            <x14:sparkline>
              <xm:f>DCDC1!C7</xm:f>
              <xm:sqref>D7</xm:sqref>
            </x14:sparkline>
            <x14:sparkline>
              <xm:f>DCDC1!C8</xm:f>
              <xm:sqref>D8</xm:sqref>
            </x14:sparkline>
            <x14:sparkline>
              <xm:f>DCDC1!C9</xm:f>
              <xm:sqref>D9</xm:sqref>
            </x14:sparkline>
            <x14:sparkline>
              <xm:f>DCDC1!C10</xm:f>
              <xm:sqref>D10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变更记录</vt:lpstr>
      <vt:lpstr>大参数测试方案</vt:lpstr>
      <vt:lpstr>OBC Charge Derating Curves</vt:lpstr>
      <vt:lpstr>V2L Derating Curves</vt:lpstr>
      <vt:lpstr>DCDC1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周宜波</cp:lastModifiedBy>
  <dcterms:created xsi:type="dcterms:W3CDTF">2015-06-05T18:19:00Z</dcterms:created>
  <dcterms:modified xsi:type="dcterms:W3CDTF">2026-04-01T08:36:43Z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F902898CBF2645939262F455D1A68B97_13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